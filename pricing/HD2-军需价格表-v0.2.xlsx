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c6405b32540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费规则" sheetId="1" r:id="Rb1ecf17bf0a6446b"/>
    <x:sheet xmlns:r="http://schemas.openxmlformats.org/officeDocument/2006/relationships" name="装备与弹药" sheetId="2" r:id="R9b5f6ed9210746dd"/>
    <x:sheet xmlns:r="http://schemas.openxmlformats.org/officeDocument/2006/relationships" name="战备调用" sheetId="3" r:id="R351e6cdcf46f4dd6"/>
    <x:sheet xmlns:r="http://schemas.openxmlformats.org/officeDocument/2006/relationships" name="定价参数" sheetId="4" r:id="R7d17d31cf48347f7"/>
    <x:sheet xmlns:r="http://schemas.openxmlformats.org/officeDocument/2006/relationships" name="鹈鹕核算" sheetId="5" r:id="R2ba1e9ebaa134c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(#,##0.00);0.00"/>
    <x:numFmt numFmtId="201" formatCode="0.00&quot; 倍&quot;"/>
    <x:numFmt numFmtId="202" formatCode="#,##0"/>
  </x:numFmts>
  <x:fonts count="17">
    <x:font>
      <x:sz val="11"/>
      <x:name val="Carlito"/>
    </x:font>
    <x:font>
      <x:sz val="10"/>
      <x:color rgb="FF182C3B"/>
      <x:name val="Arial"/>
    </x:font>
    <x:font>
      <x:b/>
      <x:sz val="16"/>
      <x:color rgb="FF182C3B"/>
      <x:name val="Arial"/>
    </x:font>
    <x:font>
      <x:b/>
      <x:sz val="10"/>
      <x:color rgb="FFFFFFFF"/>
      <x:name val="Arial"/>
    </x:font>
    <x:font>
      <x:sz val="10"/>
      <x:color rgb="FF815800"/>
      <x:name val="Arial"/>
    </x:font>
    <x:font>
      <x:sz val="10"/>
      <x:color rgb="FF135D53"/>
      <x:name val="Arial"/>
    </x:font>
    <x:font>
      <x:b/>
      <x:sz val="10"/>
      <x:color rgb="FF135D53"/>
      <x:name val="Arial"/>
    </x:font>
    <x:font>
      <x:b/>
      <x:sz val="10"/>
      <x:color rgb="FF182C3B"/>
      <x:name val="Arial"/>
    </x:font>
    <x:font>
      <x:sz val="11"/>
      <x:color rgb="FF815800"/>
      <x:name val="Carlito"/>
    </x:font>
    <x:font>
      <x:sz val="11"/>
      <x:color rgb="FF182C3B"/>
      <x:name val="Arial"/>
    </x:font>
    <x:font>
      <x:b/>
      <x:sz val="18"/>
      <x:color rgb="FFFFFFFF"/>
      <x:name val="Arial"/>
    </x:font>
    <x:font>
      <x:b/>
      <x:sz val="12"/>
      <x:color rgb="FFFFFFFF"/>
      <x:name val="Arial"/>
    </x:font>
    <x:font>
      <x:b/>
      <x:sz val="11"/>
      <x:color rgb="FF182C3B"/>
      <x:name val="Arial"/>
    </x:font>
    <x:font>
      <x:sz val="11"/>
      <x:color rgb="FF815800"/>
      <x:name val="Arial"/>
    </x:font>
    <x:font>
      <x:sz val="11"/>
      <x:color rgb="FF135D53"/>
      <x:name val="Arial"/>
    </x:font>
    <x:font>
      <x:b/>
      <x:sz val="11"/>
      <x:name val="Carlito"/>
    </x:font>
    <x:font>
      <x:sz val="11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223747"/>
      </x:patternFill>
    </x:fill>
    <x:fill>
      <x:patternFill patternType="solid">
        <x:fgColor rgb="FFF4F7F9"/>
      </x:patternFill>
    </x:fill>
    <x:fill>
      <x:patternFill patternType="solid">
        <x:fgColor rgb="FFFFF1CF"/>
      </x:patternFill>
    </x:fill>
    <x:fill>
      <x:patternFill patternType="solid">
        <x:fgColor rgb="FFE3EEE9"/>
      </x:patternFill>
    </x:fill>
    <x:fill>
      <x:patternFill patternType="solid">
        <x:fgColor rgb="FFFFF1CF"/>
      </x:patternFill>
    </x:fill>
    <x:fill>
      <x:patternFill patternType="solid">
        <x:fgColor rgb="FFF4F7F9"/>
      </x:patternFill>
    </x:fill>
    <x:fill>
      <x:patternFill patternType="solid">
        <x:fgColor rgb="FF223747"/>
      </x:patternFill>
    </x:fill>
    <x:fill>
      <x:patternFill patternType="solid">
        <x:fgColor rgb="FFFFFFFF"/>
      </x:patternFill>
    </x:fill>
    <x:fill>
      <x:patternFill patternType="solid">
        <x:fgColor rgb="FFFFF1CF"/>
      </x:patternFill>
    </x:fill>
    <x:fill>
      <x:patternFill patternType="solid">
        <x:fgColor rgb="FF223747"/>
      </x:patternFill>
    </x:fill>
    <x:fill>
      <x:patternFill patternType="solid">
        <x:fgColor rgb="FFF4F7F9"/>
      </x:patternFill>
    </x:fill>
    <x:fill>
      <x:patternFill patternType="solid">
        <x:fgColor rgb="FF135D53"/>
      </x:patternFill>
    </x:fill>
  </x:fills>
  <x:borders count="1">
    <x:border/>
  </x:borders>
  <x:cellStyleXfs count="1">
    <x:xf numFmtId="0" fontId="0" fillId="0" borderId="0"/>
  </x:cellStyleXfs>
  <x:cellXfs count="9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200" fontId="4" fillId="6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200" fontId="8" fillId="6" borderId="0" xfId="0" applyNumberFormat="1" applyFont="1" applyFill="1" applyBorder="1"/>
    <x:xf numFmtId="200" fontId="0" fillId="0" borderId="0" xfId="0" applyNumberFormat="1" applyFont="1" applyFill="1" applyBorder="1"/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vertical="center"/>
    </x:xf>
    <x:xf numFmtId="200" fontId="4" fillId="9" borderId="0" xfId="0" applyNumberFormat="1" applyFont="1" applyFill="1" applyBorder="1" applyAlignment="1">
      <x:alignment vertical="center"/>
    </x:xf>
    <x:xf numFmtId="200" fontId="1" fillId="9" borderId="0" xfId="0" applyNumberFormat="1" applyFont="1" applyFill="1" applyBorder="1" applyAlignment="1">
      <x:alignment vertical="center"/>
    </x:xf>
    <x:xf numFmtId="200" fontId="4" fillId="7" borderId="0" xfId="0" applyNumberFormat="1" applyFont="1" applyFill="1" applyBorder="1" applyAlignment="1">
      <x:alignment vertical="center"/>
    </x:xf>
    <x:xf numFmtId="200" fontId="1" fillId="7" borderId="0" xfId="0" applyNumberFormat="1" applyFont="1" applyFill="1" applyBorder="1" applyAlignment="1">
      <x:alignment vertical="center"/>
    </x:xf>
    <x:xf numFmtId="202" fontId="1" fillId="7" borderId="0" xfId="0" applyNumberFormat="1" applyFont="1" applyFill="1" applyBorder="1" applyAlignment="1">
      <x:alignment vertical="center"/>
    </x:xf>
    <x:xf numFmtId="202" fontId="4" fillId="6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5" fillId="7" borderId="0" xfId="0" applyNumberFormat="1" applyFont="1" applyFill="1" applyBorder="1" applyAlignment="1">
      <x:alignment vertical="center"/>
    </x:xf>
    <x:xf numFmtId="200" fontId="6" fillId="7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200" fontId="8" fillId="10" borderId="0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12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202" fontId="1" fillId="10" borderId="0" xfId="0" applyNumberFormat="1" applyFont="1" applyFill="1" applyBorder="1" applyAlignment="1">
      <x:alignment vertical="center"/>
    </x:xf>
    <x:xf numFmtId="202" fontId="4" fillId="1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vertical="center" wrapText="1"/>
    </x:xf>
    <x:xf numFmtId="0" fontId="10" fillId="11" borderId="0" xfId="0" applyNumberFormat="1" applyFont="1" applyFill="1" applyBorder="1" applyAlignment="1">
      <x:alignment vertical="center" wrapText="1"/>
    </x:xf>
    <x:xf numFmtId="0" fontId="9" fillId="13" borderId="0" xfId="0" applyNumberFormat="1" applyFont="1" applyFill="1" applyBorder="1" applyAlignment="1">
      <x:alignment vertical="center" wrapText="1"/>
    </x:xf>
    <x:xf numFmtId="0" fontId="11" fillId="13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 applyAlignment="1">
      <x:alignment vertical="center" wrapText="1"/>
    </x:xf>
    <x:xf numFmtId="0" fontId="13" fillId="10" borderId="0" xfId="0" applyNumberFormat="1" applyFont="1" applyFill="1" applyBorder="1" applyAlignment="1">
      <x:alignment vertical="center" wrapText="1"/>
    </x:xf>
    <x:xf numFmtId="202" fontId="13" fillId="10" borderId="0" xfId="0" applyNumberFormat="1" applyFont="1" applyFill="1" applyBorder="1" applyAlignment="1">
      <x:alignment vertical="center" wrapText="1"/>
    </x:xf>
    <x:xf numFmtId="200" fontId="9" fillId="0" borderId="0" xfId="0" applyNumberFormat="1" applyFont="1" applyFill="1" applyBorder="1" applyAlignment="1">
      <x:alignment vertical="center" wrapText="1"/>
    </x:xf>
    <x:xf numFmtId="200" fontId="11" fillId="13" borderId="0" xfId="0" applyNumberFormat="1" applyFont="1" applyFill="1" applyBorder="1" applyAlignment="1">
      <x:alignment vertical="center" wrapText="1"/>
    </x:xf>
    <x:xf numFmtId="0" fontId="9" fillId="12" borderId="0" xfId="0" applyNumberFormat="1" applyFont="1" applyFill="1" applyBorder="1" applyAlignment="1">
      <x:alignment vertical="center" wrapText="1"/>
    </x:xf>
    <x:xf numFmtId="202" fontId="13" fillId="12" borderId="0" xfId="0" applyNumberFormat="1" applyFont="1" applyFill="1" applyBorder="1" applyAlignment="1">
      <x:alignment vertical="center" wrapText="1"/>
    </x:xf>
    <x:xf numFmtId="200" fontId="9" fillId="12" borderId="0" xfId="0" applyNumberFormat="1" applyFont="1" applyFill="1" applyBorder="1" applyAlignment="1">
      <x:alignment vertical="center" wrapText="1"/>
    </x:xf>
    <x:xf numFmtId="200" fontId="14" fillId="0" borderId="0" xfId="0" applyNumberFormat="1" applyFont="1" applyFill="1" applyBorder="1" applyAlignment="1">
      <x:alignment vertical="center" wrapText="1"/>
    </x:xf>
    <x:xf numFmtId="200" fontId="14" fillId="12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/>
    <x:xf numFmtId="0" fontId="16" fillId="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baa585ec27433e" /><Relationship Type="http://schemas.openxmlformats.org/officeDocument/2006/relationships/theme" Target="/xl/theme/theme1.xml" Id="R511d0308bee643c9" /><Relationship Type="http://schemas.openxmlformats.org/officeDocument/2006/relationships/sharedStrings" Target="/xl/sharedStrings.xml" Id="R4445edebe5ed4a49" /><Relationship Type="http://schemas.openxmlformats.org/officeDocument/2006/relationships/worksheet" Target="/xl/worksheets/sheet1.xml" Id="Rb1ecf17bf0a6446b" /><Relationship Type="http://schemas.openxmlformats.org/officeDocument/2006/relationships/worksheet" Target="/xl/worksheets/sheet2.xml" Id="R9b5f6ed9210746dd" /><Relationship Type="http://schemas.openxmlformats.org/officeDocument/2006/relationships/worksheet" Target="/xl/worksheets/sheet3.xml" Id="R351e6cdcf46f4dd6" /><Relationship Type="http://schemas.openxmlformats.org/officeDocument/2006/relationships/worksheet" Target="/xl/worksheets/sheet4.xml" Id="R7d17d31cf48347f7" /><Relationship Type="http://schemas.openxmlformats.org/officeDocument/2006/relationships/worksheet" Target="/xl/worksheets/sheet5.xml" Id="R2ba1e9ebaa134cfc" /></Relationships>
</file>

<file path=xl/tables/table1.xml><?xml version="1.0" encoding="utf-8"?>
<x:table xmlns:x="http://schemas.openxmlformats.org/spreadsheetml/2006/main" id="7" name="EquipmentPrices" displayName="EquipmentPrices" ref="A5:T197" headerRowCount="1" totalsRowCount="0" totalsRowShown="0">
  <x:tableColumns count="20">
    <x:tableColumn id="1" name="编号"/>
    <x:tableColumn id="2" name="类别"/>
    <x:tableColumn id="3" name="中文名称 / 型号"/>
    <x:tableColumn id="4" name="采购价（MC）"/>
    <x:tableColumn id="5" name="消耗单位"/>
    <x:tableColumn id="6" name="消耗单价（MC）"/>
    <x:tableColumn id="7" name="计费方式"/>
    <x:tableColumn id="8" name="散热器更换（MC/件）"/>
    <x:tableColumn id="9" name="本体系数"/>
    <x:tableColumn id="10" name="消耗系数"/>
    <x:tableColumn id="11" name="本体基础键"/>
    <x:tableColumn id="12" name="消耗基础键"/>
    <x:tableColumn id="13" name="计价说明"/>
    <x:tableColumn id="14" name="游戏资料链接"/>
    <x:tableColumn id="15" name="资料状态"/>
    <x:tableColumn id="16" name="英文原名"/>
    <x:tableColumn id="17" name="中文名称依据"/>
    <x:tableColumn id="18" name="中文背景摘要"/>
    <x:tableColumn id="19" name="背景与定价依据"/>
    <x:tableColumn id="20" name="本轮审查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8" name="StratagemPrices" displayName="StratagemPrices" ref="A5:U106" headerRowCount="1" totalsRowCount="0" totalsRowShown="0">
  <x:tableColumns count="21">
    <x:tableColumn id="1" name="编号"/>
    <x:tableColumn id="2" name="类别"/>
    <x:tableColumn id="3" name="中文战备 / 调用项目"/>
    <x:tableColumn id="4" name="平台费（MC）"/>
    <x:tableColumn id="5" name="本体投入（MC）"/>
    <x:tableColumn id="6" name="预付弹药包（MC）"/>
    <x:tableColumn id="7" name="固定投入标准（MC）"/>
    <x:tableColumn id="8" name="单发 / 单次价格（MC）"/>
    <x:tableColumn id="9" name="实际发数 / 次数"/>
    <x:tableColumn id="10" name="数量费用（MC）"/>
    <x:tableColumn id="11" name="本次合计（MC）"/>
    <x:tableColumn id="12" name="弹药账法"/>
    <x:tableColumn id="13" name="计价说明"/>
    <x:tableColumn id="14" name="游戏资料链接"/>
    <x:tableColumn id="15" name="资料状态"/>
    <x:tableColumn id="16" name="英文原名"/>
    <x:tableColumn id="17" name="中文名称依据"/>
    <x:tableColumn id="18" name="往返燃料费（MC）"/>
    <x:tableColumn id="19" name="人员工资（MC）"/>
    <x:tableColumn id="20" name="维护折耗（MC）"/>
    <x:tableColumn id="21" name="中文背景与定价依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6" name="PricingParameters" displayName="PricingParameters" ref="A5:H130" headerRowCount="1" totalsRowCount="0" totalsRowShown="0">
  <x:tableColumns count="8">
    <x:tableColumn id="1" name="参数键"/>
    <x:tableColumn id="2" name="成本项目"/>
    <x:tableColumn id="3" name="计量单位"/>
    <x:tableColumn id="4" name="标准基价（MC）"/>
    <x:tableColumn id="5" name="现实锚值"/>
    <x:tableColumn id="6" name="现实锚点单位/年代"/>
    <x:tableColumn id="7" name="定价依据"/>
    <x:tableColumn id="8" name="来源链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c487db472844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09185656ba49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a89cc5cab14ed0" /></Relationships>
</file>

<file path=xl/worksheets/sheet1.xml><?xml version="1.0" encoding="utf-8"?>
<x:worksheet xmlns:x="http://schemas.openxmlformats.org/spreadsheetml/2006/main">
  <x:sheetPr>
    <x:tabColor rgb="FF60717B"/>
  </x:sheetPr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19" hidden="0" customWidth="1"/>
    <x:col min="7" max="7" width="18" hidden="0" customWidth="1"/>
    <x:col min="8" max="8" width="20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超地球军需核算标准 v0.2 · 背景复核版</x:v>
      </x:c>
      <x:c r="B2" s="2"/>
      <x:c r="C2" s="2"/>
      <x:c r="D2" s="2"/>
      <x:c r="E2" s="2"/>
      <x:c r="F2" s="2"/>
      <x:c r="G2" s="2"/>
      <x:c r="H2" s="2"/>
    </x:row>
    <x:row r="3" ht="34" customHeight="1">
      <x:c r="A3" s="25" t="str">
        <x:v>定价日期：2026-10-08｜金额为本MOD的军需标准价；现实军费作成本比例锚点，Wiki描述作技术类型依据。金额不是游戏公布价格。</x:v>
      </x:c>
      <x:c r="B3" s="25"/>
      <x:c r="C3" s="25"/>
      <x:c r="D3" s="25"/>
      <x:c r="E3" s="25"/>
      <x:c r="F3" s="25"/>
      <x:c r="G3" s="25"/>
      <x:c r="H3" s="25"/>
    </x:row>
    <x:row r="4" ht="23" customHeight="1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7" t="str">
        <x:v>使用位置</x:v>
      </x:c>
      <x:c r="B5" s="7" t="str">
        <x:v>用途</x:v>
      </x:c>
      <x:c r="C5" s="7" t="str"/>
      <x:c r="D5" s="7" t="str"/>
      <x:c r="E5" s="7" t="str"/>
      <x:c r="F5" s="7" t="str"/>
      <x:c r="G5" s="7" t="str"/>
      <x:c r="H5" s="7" t="str"/>
    </x:row>
    <x:row r="6" ht="27" customHeight="1">
      <x:c r="A6" s="2" t="str">
        <x:v>装备与弹药</x:v>
      </x:c>
      <x:c r="B6" s="25" t="str">
        <x:v>查装备价值、各弹种消耗单价及右侧逐件背景和调价理由。</x:v>
      </x:c>
      <x:c r="C6" s="25"/>
      <x:c r="D6" s="25"/>
      <x:c r="E6" s="25"/>
      <x:c r="F6" s="25"/>
      <x:c r="G6" s="25"/>
      <x:c r="H6" s="25"/>
    </x:row>
    <x:row r="7" ht="27" customHeight="1">
      <x:c r="A7" s="2" t="str">
        <x:v>战备调用</x:v>
      </x:c>
      <x:c r="B7" s="25" t="str">
        <x:v>查逐发炮击、整次包干、近战整件和运输的燃料/工资/维护分项。</x:v>
      </x:c>
      <x:c r="C7" s="25"/>
      <x:c r="D7" s="25"/>
      <x:c r="E7" s="25"/>
      <x:c r="F7" s="25"/>
      <x:c r="G7" s="25"/>
      <x:c r="H7" s="25"/>
    </x:row>
    <x:row r="8" ht="27" customHeight="1">
      <x:c r="A8" s="2" t="str">
        <x:v>定价参数</x:v>
      </x:c>
      <x:c r="B8" s="25" t="str">
        <x:v>调整黄色基价；相关装备和账单随公式更新。</x:v>
      </x:c>
      <x:c r="C8" s="25"/>
      <x:c r="D8" s="25"/>
      <x:c r="E8" s="25"/>
      <x:c r="F8" s="25"/>
      <x:c r="G8" s="25"/>
      <x:c r="H8" s="25"/>
    </x:row>
    <x:row r="9" ht="27" customHeight="1">
      <x:c r="A9" s="2" t="str">
        <x:v>计费规则</x:v>
      </x:c>
      <x:c r="B9" s="25" t="str">
        <x:v>看归属、避免重复记账及示例账单。</x:v>
      </x:c>
      <x:c r="C9" s="25"/>
      <x:c r="D9" s="25"/>
      <x:c r="E9" s="25"/>
      <x:c r="F9" s="25"/>
      <x:c r="G9" s="25"/>
      <x:c r="H9" s="25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</x:row>
    <x:row r="11" ht="23" customHeight="1">
      <x:c r="A11" s="19" t="str">
        <x:v>默认计费口径</x:v>
      </x:c>
      <x:c r="B11" s="2"/>
      <x:c r="C11" s="2"/>
      <x:c r="D11" s="2"/>
      <x:c r="E11" s="2"/>
      <x:c r="F11" s="2"/>
      <x:c r="G11" s="2"/>
      <x:c r="H11" s="2"/>
    </x:row>
    <x:row r="12" ht="56" customHeight="1">
      <x:c r="A12" s="25" t="str">
        <x:v>个人账记录实际弹药消费、报废与新发放装备；拾取和队友转交是库存转移。鹈鹕运输及炮击按费用发生时在队人数均分，运输每人每架次另加一次基础费，炮弹无基础费。</x:v>
      </x:c>
      <x:c r="B12" s="25"/>
      <x:c r="C12" s="25"/>
      <x:c r="D12" s="25"/>
      <x:c r="E12" s="25"/>
      <x:c r="F12" s="25"/>
      <x:c r="G12" s="25"/>
      <x:c r="H12" s="25"/>
    </x:row>
    <x:row r="13" ht="30" customHeight="1">
      <x:c r="A13" s="25" t="str">
        <x:v>实弹：射出弹数 × 单价；战术换弹再记被丢弃的剩余弹数。弹匣入库/装入时不先收整匣费。</x:v>
      </x:c>
      <x:c r="B13" s="25"/>
      <x:c r="C13" s="25"/>
      <x:c r="D13" s="25"/>
      <x:c r="E13" s="25"/>
      <x:c r="F13" s="25"/>
      <x:c r="G13" s="25"/>
      <x:c r="H13" s="25"/>
    </x:row>
    <x:row r="14" ht="30" customHeight="1">
      <x:c r="A14" s="25" t="str">
        <x:v>普通弹匣容器本版不另定价。霰弹按壳；连续光束按有效发射秒数；燃料按游戏显示单位。</x:v>
      </x:c>
      <x:c r="B14" s="25"/>
      <x:c r="C14" s="25"/>
      <x:c r="D14" s="25"/>
      <x:c r="E14" s="25"/>
      <x:c r="F14" s="25"/>
      <x:c r="G14" s="25"/>
      <x:c r="H14" s="25"/>
    </x:row>
    <x:row r="15" ht="30" customHeight="1">
      <x:c r="A15" s="25" t="str">
        <x:v>散热器按换掉的件数另记；未过热更换也使用同一件价，已有供能费不再转成剩余“子弹”。</x:v>
      </x:c>
      <x:c r="B15" s="25"/>
      <x:c r="C15" s="25"/>
      <x:c r="D15" s="25"/>
      <x:c r="E15" s="25"/>
      <x:c r="F15" s="25"/>
      <x:c r="G15" s="25"/>
      <x:c r="H15" s="25"/>
    </x:row>
    <x:row r="16" ht="48" customHeight="1">
      <x:c r="A16" s="25" t="str">
        <x:v>轨道加特林、120mm、380mm、游走、凝固汽油火力网与空爆攻击按实际发射母弹逐发计费。开始炮击收一次平台费，弹药不预收整包。其他空袭、炮塔、载具及一次性武器沿用包干。</x:v>
      </x:c>
      <x:c r="B16" s="25"/>
      <x:c r="C16" s="25"/>
      <x:c r="D16" s="25"/>
      <x:c r="E16" s="25"/>
      <x:c r="F16" s="25"/>
      <x:c r="G16" s="25"/>
      <x:c r="H16" s="25"/>
    </x:row>
    <x:row r="17" ht="56" customHeight="1">
      <x:c r="A17" s="25" t="str">
        <x:v>普通支援武器交付记本体和平台费，弹药另记；配套背包不重复收。全部近战只按实际新发放的整件收一次，挥动、供电、燃料与破门锤装药均不单独计费。</x:v>
      </x:c>
      <x:c r="B17" s="25"/>
      <x:c r="C17" s="25"/>
      <x:c r="D17" s="25"/>
      <x:c r="E17" s="25"/>
      <x:c r="F17" s="25"/>
      <x:c r="G17" s="25"/>
      <x:c r="H17" s="25"/>
    </x:row>
    <x:row r="18" ht="56" customHeight="1">
      <x:c r="A18" s="25" t="str">
        <x:v>按键预输入、没有实际投入的取消和重复识别不计费。飞鹰重装/撤离按真实保障架次计，已发生飞行的取消仍有支出；同架次改派不算新增架次。事件检测仍待MOD实测。</x:v>
      </x:c>
      <x:c r="B18" s="25"/>
      <x:c r="C18" s="25"/>
      <x:c r="D18" s="25"/>
      <x:c r="E18" s="25"/>
      <x:c r="F18" s="25"/>
      <x:c r="G18" s="25"/>
      <x:c r="H18" s="25"/>
    </x:row>
    <x:row r="19" ht="56" customHeight="1">
      <x:c r="A19" s="25" t="str">
        <x:v>普通初始随身枪械和增强模块保留采购对照价；近战按用户约定实际新发放一件记整件价，初始/增援新发放亦同，捡回已有装备不再次采购。</x:v>
      </x:c>
      <x:c r="B19" s="25"/>
      <x:c r="C19" s="25"/>
      <x:c r="D19" s="25"/>
      <x:c r="E19" s="25"/>
      <x:c r="F19" s="25"/>
      <x:c r="G19" s="25"/>
      <x:c r="H19" s="25"/>
    </x:row>
    <x:row r="20" ht="56" customHeight="1">
      <x:c r="A20" s="25" t="str">
        <x:v>增援归实际被投送者。鹈鹕共享费用只记录一次，然后均分到当前在队成员；每人每架次另加基础值。撤离与载具货运期间的实际机炮弹药均分，炮弹不额外加基础值。</x:v>
      </x:c>
      <x:c r="B20" s="25"/>
      <x:c r="C20" s="25"/>
      <x:c r="D20" s="25"/>
      <x:c r="E20" s="25"/>
      <x:c r="F20" s="25"/>
      <x:c r="G20" s="25"/>
      <x:c r="H20" s="25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</x:row>
    <x:row r="23" ht="23" customHeight="1">
      <x:c r="A23" s="19" t="str">
        <x:v>背景语音校准</x:v>
      </x:c>
      <x:c r="B23" s="2"/>
      <x:c r="C23" s="2"/>
      <x:c r="D23" s="2"/>
      <x:c r="E23" s="2"/>
      <x:c r="F23" s="2"/>
      <x:c r="G23" s="2"/>
      <x:c r="H23" s="2"/>
    </x:row>
    <x:row r="24" ht="30" customHeight="1">
      <x:c r="A24" s="25" t="str">
        <x:v>舰长语音：单次战备费用高于大多数公民一年收入；一场平均任务的成本接近自由级巡洋舰。</x:v>
      </x:c>
      <x:c r="B24" s="25"/>
      <x:c r="C24" s="25"/>
      <x:c r="D24" s="25"/>
      <x:c r="E24" s="25"/>
      <x:c r="F24" s="25"/>
      <x:c r="G24" s="25"/>
      <x:c r="H24" s="25"/>
    </x:row>
    <x:row r="25" ht="30" customHeight="1">
      <x:c r="A25" s="25" t="str">
        <x:v>第一句按相对关系校准：公民典型年收入暂定24,000 MC，标准投送费30,000 MC；两者均可在参数表调整。</x:v>
      </x:c>
      <x:c r="B25" s="25"/>
      <x:c r="C25" s="25"/>
      <x:c r="D25" s="25"/>
      <x:c r="E25" s="25"/>
      <x:c r="F25" s="25"/>
      <x:c r="G25" s="25"/>
      <x:c r="H25" s="25"/>
    </x:row>
    <x:row r="26" ht="42" customHeight="1">
      <x:c r="A26" s="25" t="str">
        <x:v>第二句没有舰价和任务统计范围，不能解出单个装备金额；本版不编造巡洋舰售价，也不把整场任务成本全记到个人。</x:v>
      </x:c>
      <x:c r="B26" s="25"/>
      <x:c r="C26" s="25"/>
      <x:c r="D26" s="25"/>
      <x:c r="E26" s="25"/>
      <x:c r="F26" s="25"/>
      <x:c r="G26" s="25"/>
      <x:c r="H26" s="25"/>
    </x:row>
    <x:row r="27" ht="56" customHeight="1">
      <x:c r="A27" s="25" t="str">
        <x:v>飞鹰返舰重装费单列，旧空袭平台费50000→45000 MC，移出原重装分摊；航弹只按攻击消费计费。鹈鹕撤离增加共享往返燃料、工资与维护费。</x:v>
      </x:c>
      <x:c r="B27" s="25"/>
      <x:c r="C27" s="25"/>
      <x:c r="D27" s="25"/>
      <x:c r="E27" s="25"/>
      <x:c r="F27" s="25"/>
      <x:c r="G27" s="25"/>
      <x:c r="H27" s="25"/>
    </x:row>
    <x:row r="28" ht="30" customHeight="1">
      <x:c r="A28" s="25" t="str">
        <x:v>https://helldivers.wiki.gg/wiki/Ship_Master#Voice_Lines</x:v>
      </x:c>
      <x:c r="B28" s="25"/>
      <x:c r="C28" s="25"/>
      <x:c r="D28" s="25"/>
      <x:c r="E28" s="25"/>
      <x:c r="F28" s="25"/>
      <x:c r="G28" s="25"/>
      <x:c r="H28" s="25"/>
    </x:row>
    <x:row r="29" ht="30" customHeight="1">
      <x:c r="A29" s="25" t="str">
        <x:v>https://helldivers.fandom.com/wiki/Liberty-Class_Cruiser</x:v>
      </x:c>
      <x:c r="B29" s="25"/>
      <x:c r="C29" s="25"/>
      <x:c r="D29" s="25"/>
      <x:c r="E29" s="25"/>
      <x:c r="F29" s="25"/>
      <x:c r="G29" s="25"/>
      <x:c r="H29" s="25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</x:row>
    <x:row r="31" ht="23" customHeight="1">
      <x:c r="A31" s="19" t="str">
        <x:v>核算示例｜黄色数量可改</x:v>
      </x:c>
      <x:c r="B31" s="2"/>
      <x:c r="C31" s="2"/>
      <x:c r="D31" s="2"/>
      <x:c r="E31" s="2"/>
      <x:c r="F31" s="2"/>
      <x:c r="G31" s="2"/>
      <x:c r="H31" s="2"/>
    </x:row>
    <x:row r="32" ht="34" customHeight="1">
      <x:c r="A32" s="7" t="str">
        <x:v>事件</x:v>
      </x:c>
      <x:c r="B32" s="7" t="str">
        <x:v>数量</x:v>
      </x:c>
      <x:c r="C32" s="7" t="str">
        <x:v>单位</x:v>
      </x:c>
      <x:c r="D32" s="7" t="str">
        <x:v>单价（MC）</x:v>
      </x:c>
      <x:c r="E32" s="7" t="str">
        <x:v>增加总额（MC）</x:v>
      </x:c>
      <x:c r="F32" s="7" t="str">
        <x:v>账法</x:v>
      </x:c>
      <x:c r="G32" s="2"/>
      <x:c r="H32" s="2"/>
    </x:row>
    <x:row r="33" ht="23" customHeight="1">
      <x:c r="A33" s="2" t="str">
        <x:v>解放者射出</x:v>
      </x:c>
      <x:c r="B33" s="9" t="n">
        <x:v>20</x:v>
      </x:c>
      <x:c r="C33" s="2" t="str">
        <x:v>发</x:v>
      </x:c>
      <x:c r="D33" s="13" t="n">
        <x:f>'装备与弹药'!F6</x:f>
        <x:v>0.35</x:v>
      </x:c>
      <x:c r="E33" s="13" t="n">
        <x:f>ROUND(B33*D33,2)</x:f>
        <x:v>7</x:v>
      </x:c>
      <x:c r="F33" s="2" t="str">
        <x:v>弹药消费</x:v>
      </x:c>
      <x:c r="G33" s="2"/>
      <x:c r="H33" s="2"/>
    </x:row>
    <x:row r="34" ht="23" customHeight="1">
      <x:c r="A34" s="2" t="str">
        <x:v>换弹丢弃剩余弹</x:v>
      </x:c>
      <x:c r="B34" s="9" t="n">
        <x:v>25</x:v>
      </x:c>
      <x:c r="C34" s="2" t="str">
        <x:v>发</x:v>
      </x:c>
      <x:c r="D34" s="13" t="n">
        <x:f>'装备与弹药'!F6</x:f>
        <x:v>0.35</x:v>
      </x:c>
      <x:c r="E34" s="13" t="n">
        <x:f>ROUND(B34*D34,2)</x:f>
        <x:v>8.75</x:v>
      </x:c>
      <x:c r="F34" s="2" t="str">
        <x:v>弹药报废</x:v>
      </x:c>
      <x:c r="G34" s="2"/>
      <x:c r="H34" s="2"/>
    </x:row>
    <x:row r="35" ht="23" customHeight="1">
      <x:c r="A35" s="2" t="str">
        <x:v>飞鹰空袭成功调用</x:v>
      </x:c>
      <x:c r="B35" s="9" t="n">
        <x:v>1</x:v>
      </x:c>
      <x:c r="C35" s="2" t="str">
        <x:v>次</x:v>
      </x:c>
      <x:c r="D35" s="13" t="n">
        <x:f>'战备调用'!G20</x:f>
        <x:v>57000</x:v>
      </x:c>
      <x:c r="E35" s="13" t="n">
        <x:f>ROUND(B35*D35,2)</x:f>
        <x:v>57000</x:v>
      </x:c>
      <x:c r="F35" s="2" t="str">
        <x:v>全包调用</x:v>
      </x:c>
      <x:c r="G35" s="2"/>
      <x:c r="H35" s="2"/>
    </x:row>
    <x:row r="36" ht="23" customHeight="1">
      <x:c r="A36" s="2" t="str">
        <x:v>EAT整包成功调用</x:v>
      </x:c>
      <x:c r="B36" s="9" t="n">
        <x:v>1</x:v>
      </x:c>
      <x:c r="C36" s="2" t="str">
        <x:v>次</x:v>
      </x:c>
      <x:c r="D36" s="13" t="n">
        <x:f>'战备调用'!G29</x:f>
        <x:v>37400</x:v>
      </x:c>
      <x:c r="E36" s="13" t="n">
        <x:f>ROUND(B36*D36,2)</x:f>
        <x:v>37400</x:v>
      </x:c>
      <x:c r="F36" s="2" t="str">
        <x:v>全包调用</x:v>
      </x:c>
      <x:c r="G36" s="2"/>
      <x:c r="H36" s="2"/>
    </x:row>
    <x:row r="37" ht="23" customHeight="1">
      <x:c r="A37" s="2" t="str">
        <x:v>EAT其中一枚发射</x:v>
      </x:c>
      <x:c r="B37" s="9" t="n">
        <x:v>1</x:v>
      </x:c>
      <x:c r="C37" s="2" t="str">
        <x:v>枚</x:v>
      </x:c>
      <x:c r="D37" s="13" t="n">
        <x:f>'定价参数'!$D$16</x:f>
        <x:v>3500</x:v>
      </x:c>
      <x:c r="E37" s="13" t="n">
        <x:f>0</x:f>
        <x:v>0</x:v>
      </x:c>
      <x:c r="F37" s="2" t="str">
        <x:v>已含调用价</x:v>
      </x:c>
      <x:c r="G37" s="2"/>
      <x:c r="H37" s="2"/>
    </x:row>
    <x:row r="38" ht="23" customHeight="1">
      <x:c r="A38" s="22" t="str">
        <x:v>示例作战支出合计</x:v>
      </x:c>
      <x:c r="B38" s="22"/>
      <x:c r="C38" s="22"/>
      <x:c r="D38" s="23"/>
      <x:c r="E38" s="23" t="n">
        <x:f>SUM(E33:E37)</x:f>
        <x:v>94415.75</x:v>
      </x:c>
      <x:c r="F38" s="22"/>
      <x:c r="G38" s="2"/>
      <x:c r="H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</x:row>
    <x:row r="40" ht="23" customHeight="1">
      <x:c r="A40" s="19" t="str">
        <x:v>检验</x:v>
      </x:c>
      <x:c r="B40" s="2"/>
      <x:c r="C40" s="2"/>
      <x:c r="D40" s="2"/>
      <x:c r="E40" s="2"/>
      <x:c r="F40" s="2"/>
      <x:c r="G40" s="2"/>
      <x:c r="H40" s="2"/>
    </x:row>
    <x:row r="41" ht="23" customHeight="1">
      <x:c r="A41" s="2" t="str">
        <x:v>解放者整匣消费核对</x:v>
      </x:c>
      <x:c r="B41" s="2"/>
      <x:c r="C41" s="2"/>
      <x:c r="D41" s="2"/>
      <x:c r="E41" s="2" t="str">
        <x:f>IF(ABS(E33+E34-(B33+B34)*D33)&lt;0.000001,"通过","检查")</x:f>
        <x:v>通过</x:v>
      </x:c>
      <x:c r="F41" s="2"/>
      <x:c r="G41" s="2"/>
      <x:c r="H41" s="2"/>
    </x:row>
    <x:row r="42" ht="23" customHeight="1">
      <x:c r="A42" s="2" t="str">
        <x:v>EAT无重复消费核对</x:v>
      </x:c>
      <x:c r="B42" s="2"/>
      <x:c r="C42" s="2"/>
      <x:c r="D42" s="2"/>
      <x:c r="E42" s="2" t="str">
        <x:f>IF(E37=0,"通过","检查")</x:f>
        <x:v>通过</x:v>
      </x:c>
      <x:c r="F42" s="2"/>
      <x:c r="G42" s="2"/>
      <x:c r="H42" s="2"/>
    </x:row>
    <x:row r="43" ht="23" customHeight="1">
      <x:c r="A43" s="2" t="str">
        <x:v>标准投送费/公民年收入</x:v>
      </x:c>
      <x:c r="B43" s="2"/>
      <x:c r="C43" s="2"/>
      <x:c r="D43" s="2"/>
      <x:c r="E43" s="24" t="n">
        <x:f>ROUND('定价参数'!$D$83/'定价参数'!$D$87,2)</x:f>
        <x:v>1.25</x:v>
      </x:c>
      <x:c r="F43" s="2"/>
      <x:c r="G43" s="2"/>
      <x:c r="H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</x:row>
    <x:row r="45" ht="23" customHeight="1">
      <x:c r="A45" s="19" t="str">
        <x:v>目录覆盖与资料边界</x:v>
      </x:c>
      <x:c r="B45" s="2"/>
      <x:c r="C45" s="2"/>
      <x:c r="D45" s="2"/>
      <x:c r="E45" s="2"/>
      <x:c r="F45" s="2"/>
      <x:c r="G45" s="2"/>
      <x:c r="H45" s="2"/>
    </x:row>
    <x:row r="46" ht="56" customHeight="1">
      <x:c r="A46" s="25" t="str">
        <x:v>现有191装备条目加鹈鹕机炮炮弹，合计192条；101调用条目保留。本轮逐页核对55主武器、25副武器、35支援武器、23投掷物，共138件及相关战备。</x:v>
      </x:c>
      <x:c r="B46" s="25"/>
      <x:c r="C46" s="25"/>
      <x:c r="D46" s="25"/>
      <x:c r="E46" s="25"/>
      <x:c r="F46" s="25"/>
      <x:c r="G46" s="25"/>
      <x:c r="H46" s="25"/>
    </x:row>
    <x:row r="47" ht="56" customHeight="1">
      <x:c r="A47" s="25" t="str">
        <x:v>机械目录沿用HD2Runtime 0.28.1/96ab2d2快照；2026-10-08通过用户Edge核对Wiki原文。138武器均有中文摘要及定价依据；型号与描述不等于官方采购成本。</x:v>
      </x:c>
      <x:c r="B47" s="25"/>
      <x:c r="C47" s="25"/>
      <x:c r="D47" s="25"/>
      <x:c r="E47" s="25"/>
      <x:c r="F47" s="25"/>
      <x:c r="G47" s="25"/>
      <x:c r="H47" s="25"/>
    </x:row>
    <x:row r="48" ht="30" customHeight="1">
      <x:c r="A48" s="25" t="str">
        <x:v>按当前范围移除护甲、头盔、披风及其供价模板。作为战备的护盾、护卫犬和外骨骼载具仍纳入目录。</x:v>
      </x:c>
      <x:c r="B48" s="25"/>
      <x:c r="C48" s="25"/>
      <x:c r="D48" s="25"/>
      <x:c r="E48" s="25"/>
      <x:c r="F48" s="25"/>
      <x:c r="G48" s="25"/>
      <x:c r="H48" s="25"/>
    </x:row>
    <x:row r="49" ht="42" customHeight="1">
      <x:c r="A49" s="25" t="str">
        <x:v>中文名称优先采用中文Wiki用名，未找到中文用名时标为“参考译名”；拆分弹种和配件采用“说明性译名”。英文原名保留在表格右侧。</x:v>
      </x:c>
      <x:c r="B49" s="25"/>
      <x:c r="C49" s="25"/>
      <x:c r="D49" s="25"/>
      <x:c r="E49" s="25"/>
      <x:c r="F49" s="25"/>
      <x:c r="G49" s="25"/>
      <x:c r="H49" s="25"/>
    </x:row>
    <x:row r="50" ht="56" customHeight="1">
      <x:c r="A50" s="25" t="str">
        <x:v>场景SG-88、CQC-72、超级地球型FRV不生成玩家调用费；FRV装备价值按B_FRV列120000 MC。CQC-73为副武器Wiki型号，游戏名称可能仍显示CQC-72。</x:v>
      </x:c>
      <x:c r="B50" s="25"/>
      <x:c r="C50" s="25"/>
      <x:c r="D50" s="25"/>
      <x:c r="E50" s="25"/>
      <x:c r="F50" s="25"/>
      <x:c r="G50" s="25"/>
      <x:c r="H50" s="25"/>
    </x:row>
    <x:row r="51" ht="48" customHeight="1">
      <x:c r="A51" s="25" t="str">
        <x:v>逐发战备：单发价不因飞船升级改变，发数按调用者对应模块与当次实际发射记录。每枚发射母弹算一次，后续子弹药与爆炸不重复收费。价格表没有写死默认发数，实时识别仍待MOD实测。</x:v>
      </x:c>
      <x:c r="B51" s="25"/>
      <x:c r="C51" s="25"/>
      <x:c r="D51" s="25"/>
      <x:c r="E51" s="25"/>
      <x:c r="F51" s="25"/>
      <x:c r="G51" s="25"/>
      <x:c r="H51" s="25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</x:row>
    <x:row r="53" ht="23" customHeight="1">
      <x:c r="A53" s="19" t="str">
        <x:v>现实来源</x:v>
      </x:c>
      <x:c r="B53" s="2"/>
      <x:c r="C53" s="2"/>
      <x:c r="D53" s="2"/>
      <x:c r="E53" s="2"/>
      <x:c r="F53" s="2"/>
      <x:c r="G53" s="2"/>
      <x:c r="H53" s="2"/>
    </x:row>
    <x:row r="54" ht="30" customHeight="1">
      <x:c r="A54" s="25" t="str">
        <x:v>FY2026 CTEF预算PDF第12页/印刷第9页：5.56mm Ball 0.35、9mm 0.16、12G 0.52、7.62mm 1.20 USD/单位。仅作为对应采购规模的比例锚点。</x:v>
      </x:c>
      <x:c r="B54" s="25"/>
      <x:c r="C54" s="25"/>
      <x:c r="D54" s="25"/>
      <x:c r="E54" s="25"/>
      <x:c r="F54" s="25"/>
      <x:c r="G54" s="25"/>
      <x:c r="H54" s="25"/>
    </x:row>
    <x:row r="55" ht="30" customHeight="1">
      <x:c r="A55" s="25" t="str">
        <x:v>https://comptroller.war.gov/Portals/45/Documents/defbudget/FY2026/FY2026_CTEF_J-Book.pdf#page=12</x:v>
      </x:c>
      <x:c r="B55" s="25"/>
      <x:c r="C55" s="25"/>
      <x:c r="D55" s="25"/>
      <x:c r="E55" s="25"/>
      <x:c r="F55" s="25"/>
      <x:c r="G55" s="25"/>
      <x:c r="H55" s="25"/>
    </x:row>
    <x:row r="56" ht="30" customHeight="1">
      <x:c r="A56" s="25" t="str">
        <x:v>英国国防部2025-11-20 DragonFire资料支持“供能耗费低、系统成本高”的结构；不据此换算游戏激光功率、英镑汇率或弹量。</x:v>
      </x:c>
      <x:c r="B56" s="25"/>
      <x:c r="C56" s="25"/>
      <x:c r="D56" s="25"/>
      <x:c r="E56" s="25"/>
      <x:c r="F56" s="25"/>
      <x:c r="G56" s="25"/>
      <x:c r="H56" s="25"/>
    </x:row>
    <x:row r="57" ht="30" customHeight="1">
      <x:c r="A57" s="25" t="str">
        <x:v>https://www.gov.uk/government/news/boost-for-armed-forces-as-new-laser-weapon-takes-down-high-speed-drones</x:v>
      </x:c>
      <x:c r="B57" s="25"/>
      <x:c r="C57" s="25"/>
      <x:c r="D57" s="25"/>
      <x:c r="E57" s="25"/>
      <x:c r="F57" s="25"/>
      <x:c r="G57" s="25"/>
      <x:c r="H57" s="25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</x:row>
    <x:row r="59" ht="23" customHeight="1">
      <x:c r="A59" s="19" t="str">
        <x:v>游戏目录固定版本</x:v>
      </x:c>
      <x:c r="B59" s="2"/>
      <x:c r="C59" s="2"/>
      <x:c r="D59" s="2"/>
      <x:c r="E59" s="2"/>
      <x:c r="F59" s="2"/>
      <x:c r="G59" s="2"/>
      <x:c r="H59" s="2"/>
    </x:row>
    <x:row r="60" ht="30" customHeight="1">
      <x:c r="A60" s="25" t="str">
        <x:v>https://github.com/SkyeShade/HD2Runtime/tree/96ab2d258d867a5df4f22bb7b3321d84d28de21d</x:v>
      </x:c>
      <x:c r="B60" s="25"/>
      <x:c r="C60" s="25"/>
      <x:c r="D60" s="25"/>
      <x:c r="E60" s="25"/>
      <x:c r="F60" s="25"/>
      <x:c r="G60" s="25"/>
      <x:c r="H60" s="25"/>
    </x:row>
    <x:row r="61" ht="30" customHeight="1">
      <x:c r="A61" s="25" t="str">
        <x:v>中文名称资料来源：</x:v>
      </x:c>
      <x:c r="B61" s="25"/>
      <x:c r="C61" s="25"/>
      <x:c r="D61" s="25"/>
      <x:c r="E61" s="25"/>
      <x:c r="F61" s="25"/>
      <x:c r="G61" s="25"/>
      <x:c r="H61" s="25"/>
    </x:row>
    <x:row r="62" ht="30" customHeight="1">
      <x:c r="A62" s="25" t="str">
        <x:v>https://helldivers.wiki.gg/zh/wiki/%E6%AD%A6%E5%99%A8?variant=zh-sg</x:v>
      </x:c>
      <x:c r="B62" s="25"/>
      <x:c r="C62" s="25"/>
      <x:c r="D62" s="25"/>
      <x:c r="E62" s="25"/>
      <x:c r="F62" s="25"/>
      <x:c r="G62" s="25"/>
      <x:c r="H62" s="25"/>
    </x:row>
    <x:row r="63" ht="30" customHeight="1">
      <x:c r="A63" s="25" t="str">
        <x:v>https://helldivers.wiki.gg/zh/wiki/%E6%88%98%E7%95%A5%E9%85%8D%E5%A4%87?variant=zh-hans</x:v>
      </x:c>
      <x:c r="B63" s="25"/>
      <x:c r="C63" s="25"/>
      <x:c r="D63" s="25"/>
      <x:c r="E63" s="25"/>
      <x:c r="F63" s="25"/>
      <x:c r="G63" s="25"/>
      <x:c r="H63" s="25"/>
    </x:row>
    <x:row r="64" ht="30" customHeight="1">
      <x:c r="A64" s="25" t="str">
        <x:v>https://helldivers.wiki.gg/zh/wiki/Maintenance_Report</x:v>
      </x:c>
      <x:c r="B64" s="25"/>
      <x:c r="C64" s="25"/>
      <x:c r="D64" s="25"/>
      <x:c r="E64" s="25"/>
      <x:c r="F64" s="25"/>
      <x:c r="G64" s="25"/>
      <x:c r="H64" s="25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</x:row>
    <x:row r="66" ht="23" customHeight="1">
      <x:c r="A66" s="19" t="str">
        <x:v>逐发计费示例｜假设发数，不代表游戏固定弹数</x:v>
      </x:c>
      <x:c r="B66" s="2"/>
      <x:c r="C66" s="2"/>
      <x:c r="D66" s="2"/>
      <x:c r="E66" s="2"/>
      <x:c r="F66" s="2"/>
      <x:c r="G66" s="2"/>
      <x:c r="H66" s="2"/>
    </x:row>
    <x:row r="67" ht="34" customHeight="1">
      <x:c r="A67" s="53" t="str">
        <x:v>战备</x:v>
      </x:c>
      <x:c r="B67" s="53" t="str">
        <x:v>实际发数</x:v>
      </x:c>
      <x:c r="C67" s="53" t="str">
        <x:v>单位</x:v>
      </x:c>
      <x:c r="D67" s="53" t="str">
        <x:v>单发价（MC）</x:v>
      </x:c>
      <x:c r="E67" s="53" t="str">
        <x:v>本次合计（MC）</x:v>
      </x:c>
      <x:c r="F67" s="53" t="str">
        <x:v>平台费（MC）</x:v>
      </x:c>
      <x:c r="G67" s="2"/>
      <x:c r="H67" s="2"/>
    </x:row>
    <x:row r="68" ht="38" customHeight="1">
      <x:c r="A68" s="25" t="str">
        <x:v>轨道120mm高爆弹火力网</x:v>
      </x:c>
      <x:c r="B68" s="49" t="n">
        <x:v>18</x:v>
      </x:c>
      <x:c r="C68" s="2" t="str">
        <x:v>发</x:v>
      </x:c>
      <x:c r="D68" s="13" t="n">
        <x:f>'战备调用'!H9</x:f>
        <x:v>1200</x:v>
      </x:c>
      <x:c r="E68" s="18" t="n">
        <x:f>IF(ISBLANK(B68),"待录入发数",IF(ISNUMBER(B68),IF(OR(B68&lt;0,MOD(B68,1)&lt;&gt;0),"检查发数",IF(B68=0,0,ROUND(B68*D68+F68,2))),"检查发数"))</x:f>
        <x:v>66600</x:v>
      </x:c>
      <x:c r="F68" s="13" t="n">
        <x:f>'战备调用'!G9</x:f>
        <x:v>45000</x:v>
      </x:c>
      <x:c r="G68" s="2"/>
      <x:c r="H68" s="2"/>
    </x:row>
    <x:row r="69" ht="38" customHeight="1">
      <x:c r="A69" s="25" t="str">
        <x:v>轨道380mm高爆弹火力网</x:v>
      </x:c>
      <x:c r="B69" s="49" t="n">
        <x:v>18</x:v>
      </x:c>
      <x:c r="C69" s="2" t="str">
        <x:v>发</x:v>
      </x:c>
      <x:c r="D69" s="13" t="n">
        <x:f>'战备调用'!H13</x:f>
        <x:v>6000</x:v>
      </x:c>
      <x:c r="E69" s="18" t="n">
        <x:f>IF(ISBLANK(B69),"待录入发数",IF(ISNUMBER(B69),IF(OR(B69&lt;0,MOD(B69,1)&lt;&gt;0),"检查发数",IF(B69=0,0,ROUND(B69*D69+F69,2))),"检查发数"))</x:f>
        <x:v>153000</x:v>
      </x:c>
      <x:c r="F69" s="13" t="n">
        <x:f>'战备调用'!G13</x:f>
        <x:v>45000</x:v>
      </x:c>
      <x:c r="G69" s="2"/>
      <x:c r="H69" s="2"/>
    </x:row>
    <x:row r="70" ht="38" customHeight="1">
      <x:c r="A70" s="25" t="str">
        <x:v>轨道加特林火力网</x:v>
      </x:c>
      <x:c r="B70" s="49" t="n">
        <x:v>240</x:v>
      </x:c>
      <x:c r="C70" s="2" t="str">
        <x:v>发</x:v>
      </x:c>
      <x:c r="D70" s="13" t="n">
        <x:f>'战备调用'!H7</x:f>
        <x:v>30</x:v>
      </x:c>
      <x:c r="E70" s="18" t="n">
        <x:f>IF(ISBLANK(B70),"待录入发数",IF(ISNUMBER(B70),IF(OR(B70&lt;0,MOD(B70,1)&lt;&gt;0),"检查发数",IF(B70=0,0,ROUND(B70*D70+F70,2))),"检查发数"))</x:f>
        <x:v>52200</x:v>
      </x:c>
      <x:c r="F70" s="13" t="n">
        <x:f>'战备调用'!G7</x:f>
        <x:v>45000</x:v>
      </x:c>
      <x:c r="G70" s="2"/>
      <x:c r="H70" s="2"/>
    </x:row>
    <x:row r="72" ht="32" customHeight="1">
      <x:c r="A72" s="88" t="str">
        <x:v>背景复核与定价口径</x:v>
      </x:c>
      <x:c r="B72"/>
      <x:c r="C72"/>
      <x:c r="D72"/>
      <x:c r="E72"/>
      <x:c r="F72"/>
      <x:c r="G72"/>
      <x:c r="H72"/>
    </x:row>
    <x:row r="73" ht="56" customHeight="1">
      <x:c r="A73" s="89" t="str">
        <x:v>背景描述在装备表R列，定价依据S列，审查状态T列。普通弹药保持现实比例；增加专用引信、制导、集束、传感器和高能发生器成本，厂商/联动名及伤害数值不直接等于价格。</x:v>
      </x:c>
      <x:c r="B73"/>
      <x:c r="C73"/>
      <x:c r="D73"/>
      <x:c r="E73"/>
      <x:c r="F73"/>
      <x:c r="G73"/>
      <x:c r="H73"/>
    </x:row>
    <x:row r="74" ht="56" customHeight="1">
      <x:c r="A74" s="89" t="str">
        <x:v>G/40-K热熔地雷为30000 MC，G-60反坦克寻踪者12000 MC，TM-1诱饵地雷2500 MC，G-7菠萝800 MC。热熔原文为高温热能地雷，没有明确核爆；按高能装置定价。</x:v>
      </x:c>
      <x:c r="B74"/>
      <x:c r="C74"/>
      <x:c r="D74"/>
      <x:c r="E74"/>
      <x:c r="F74"/>
      <x:c r="G74"/>
      <x:c r="H74"/>
    </x:row>
    <x:row r="75" ht="56" customHeight="1">
      <x:c r="A75" s="89" t="str">
        <x:v>近战共10件：电击矛、电击棍、斧、军刀、砍刀、两种堑壕工具、旗帜、动力锯、破门锤。动作价全部0，整件价包含任务内一般使用保障；破门锤装药也包干。</x:v>
      </x:c>
      <x:c r="B75"/>
      <x:c r="C75"/>
      <x:c r="D75"/>
      <x:c r="E75"/>
      <x:c r="F75"/>
      <x:c r="G75"/>
      <x:c r="H75"/>
    </x:row>
    <x:row r="76" ht="32" customHeight="1">
      <x:c r="A76" s="88" t="str">
        <x:v>运输保障示例｜数量可改，撤离费用只在小队共享账记一次</x:v>
      </x:c>
      <x:c r="B76"/>
      <x:c r="C76"/>
      <x:c r="D76"/>
      <x:c r="E76"/>
      <x:c r="F76"/>
      <x:c r="G76"/>
      <x:c r="H76"/>
    </x:row>
    <x:row r="77" ht="36" customHeight="1">
      <x:c r="A77" s="59" t="str">
        <x:v>项目</x:v>
      </x:c>
      <x:c r="B77" s="59" t="str">
        <x:v>实际次数</x:v>
      </x:c>
      <x:c r="C77" s="59" t="str">
        <x:v>单位价格（MC）</x:v>
      </x:c>
      <x:c r="D77" s="59" t="str">
        <x:v>本次费用（MC）</x:v>
      </x:c>
      <x:c r="E77" s="59" t="str">
        <x:v>归属</x:v>
      </x:c>
      <x:c r="F77" s="59" t="str">
        <x:v>费用组成</x:v>
      </x:c>
    </x:row>
    <x:row r="78" ht="42" customHeight="1">
      <x:c r="A78" s="63" t="str">
        <x:v>飞鹰返舰重装</x:v>
      </x:c>
      <x:c r="B78" s="90" t="n">
        <x:v>1</x:v>
      </x:c>
      <x:c r="C78" s="91" t="n">
        <x:f>'战备调用'!G105</x:f>
        <x:v>30029</x:v>
      </x:c>
      <x:c r="D78" s="91" t="n">
        <x:f>ROUND(B78*C78,2)</x:f>
        <x:v>30029</x:v>
      </x:c>
      <x:c r="E78" s="63" t="str">
        <x:v>对应调用者</x:v>
      </x:c>
      <x:c r="F78" s="63" t="str">
        <x:v>燃料 + 人员工资 + 维护</x:v>
      </x:c>
    </x:row>
    <x:row r="79" ht="42" customHeight="1">
      <x:c r="A79" s="63" t="str">
        <x:v>鹈鹕撤离出航</x:v>
      </x:c>
      <x:c r="B79" s="90" t="n">
        <x:v>1</x:v>
      </x:c>
      <x:c r="C79" s="91" t="n">
        <x:f>ROUND('战备调用'!G106/'鹈鹕核算'!B5+'定价参数'!$D$130,2)</x:f>
        <x:v>23267</x:v>
      </x:c>
      <x:c r="D79" s="91" t="n">
        <x:f>ROUND(B79*C79,2)</x:f>
        <x:v>23267</x:v>
      </x:c>
      <x:c r="E79" s="63" t="str">
        <x:v>当前人数均分+基础费</x:v>
      </x:c>
      <x:c r="F79" s="63" t="str">
        <x:v>燃料 + 人员工资 + 维护</x:v>
      </x:c>
    </x:row>
    <x:row r="81" ht="56" customHeight="1">
      <x:c r="A81" s="89" t="str">
        <x:v>燃料包价格、地勤人数、工资和标准保障工时是MOD定价约定。飞鹰基础重装150秒有Wiki依据；鹈鹕600秒是计价工时，不是游戏倒计时。飞船模块可改重装工时，未公布燃料量不反推成真实油耗。</x:v>
      </x:c>
      <x:c r="B81"/>
      <x:c r="C81"/>
      <x:c r="D81"/>
      <x:c r="E81"/>
      <x:c r="F81"/>
      <x:c r="G81"/>
      <x:c r="H81"/>
    </x:row>
    <x:row r="82" ht="56" customHeight="1">
      <x:c r="A82" s="89" t="str">
        <x:v>资料访问：用户Edge直接读Wiki；背景摘要为转述。CQC-72/73等无军械库引文的页面使用概述，明确标记；FRV原生场景定义用固定SDK资料，未把它假定为可调用坦克。</x:v>
      </x:c>
      <x:c r="B82"/>
      <x:c r="C82"/>
      <x:c r="D82"/>
      <x:c r="E82"/>
      <x:c r="F82"/>
      <x:c r="G82"/>
      <x:c r="H82"/>
    </x:row>
    <x:row r="83" ht="56" customHeight="1">
      <x:c r="A83" s="89" t="str">
        <x:v>新增鹈鹕核算页：人均运输费=标准往返总费÷当前在队人数+2000 MC/人/架次；炮弹人均=150 MC/发×实际发数÷当前人数，没有炮弹基础值。人数和标准基价均可修改。</x:v>
      </x:c>
      <x:c r="B83"/>
      <x:c r="C83"/>
      <x:c r="D83"/>
      <x:c r="E83"/>
      <x:c r="F83"/>
      <x:c r="G83"/>
      <x:c r="H83"/>
    </x:row>
  </x:sheetData>
  <x:mergeCells>
    <x:mergeCell ref="A12:H12"/>
    <x:mergeCell ref="A13:H13"/>
    <x:mergeCell ref="A14:H14"/>
    <x:mergeCell ref="A15:H15"/>
    <x:mergeCell ref="A16:H16"/>
    <x:mergeCell ref="A17:H17"/>
    <x:mergeCell ref="A18:H18"/>
    <x:mergeCell ref="A19:H19"/>
    <x:mergeCell ref="A20:H20"/>
    <x:mergeCell ref="A24:H24"/>
    <x:mergeCell ref="A25:H25"/>
    <x:mergeCell ref="A26:H26"/>
    <x:mergeCell ref="A27:H27"/>
    <x:mergeCell ref="A28:H28"/>
    <x:mergeCell ref="A29:H29"/>
    <x:mergeCell ref="A46:H46"/>
    <x:mergeCell ref="A47:H47"/>
    <x:mergeCell ref="A48:H48"/>
    <x:mergeCell ref="A49:H49"/>
    <x:mergeCell ref="A50:H50"/>
    <x:mergeCell ref="A51:H51"/>
    <x:mergeCell ref="A54:H54"/>
    <x:mergeCell ref="A55:H55"/>
    <x:mergeCell ref="A56:H56"/>
    <x:mergeCell ref="A57:H57"/>
    <x:mergeCell ref="A60:H60"/>
    <x:mergeCell ref="A61:H61"/>
    <x:mergeCell ref="A62:H62"/>
    <x:mergeCell ref="A63:H63"/>
    <x:mergeCell ref="A64:H64"/>
    <x:mergeCell ref="B6:H6"/>
    <x:mergeCell ref="B7:H7"/>
    <x:mergeCell ref="B8:H8"/>
    <x:mergeCell ref="B9:H9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23747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1" hidden="0" customWidth="1"/>
    <x:col min="2" max="2" width="15" hidden="0" customWidth="1"/>
    <x:col min="3" max="3" width="49" hidden="0" customWidth="1"/>
    <x:col min="4" max="4" width="19" hidden="0" customWidth="1"/>
    <x:col min="5" max="5" width="12" hidden="0" customWidth="1"/>
    <x:col min="6" max="6" width="19" hidden="0" customWidth="1"/>
    <x:col min="7" max="7" width="30" hidden="0" customWidth="1"/>
    <x:col min="8" max="8" width="26" hidden="0" customWidth="1"/>
    <x:col min="9" max="9" width="13" hidden="0" customWidth="1"/>
    <x:col min="10" max="10" width="13" hidden="0" customWidth="1"/>
    <x:col min="11" max="11" width="20" hidden="0" customWidth="1"/>
    <x:col min="12" max="12" width="22" hidden="0" customWidth="1"/>
    <x:col min="13" max="13" width="138" hidden="0" customWidth="1"/>
    <x:col min="14" max="14" width="110" hidden="0" customWidth="1"/>
    <x:col min="15" max="15" width="28" hidden="0" customWidth="1"/>
    <x:col min="16" max="16" width="52" hidden="0" customWidth="1"/>
    <x:col min="17" max="17" width="22" hidden="0" customWidth="1"/>
    <x:col min="18" max="18" width="65" hidden="0" customWidth="1"/>
    <x:col min="19" max="19" width="115" hidden="0" customWidth="1"/>
    <x:col min="20" max="20" width="3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30" customHeight="1">
      <x:c r="A2" s="3" t="str">
        <x:v>装备与弹药｜采购参考与实际消耗单价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3" customHeight="1">
      <x:c r="A3" s="2" t="str">
        <x:v>黄色基价由参数表统一调整；右侧新增逐件中文背景摘要、调价依据与审查状态。近战按整件计费，动作消耗价为0。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34" customHeight="1">
      <x:c r="A5" s="7" t="str">
        <x:v>编号</x:v>
      </x:c>
      <x:c r="B5" s="7" t="str">
        <x:v>类别</x:v>
      </x:c>
      <x:c r="C5" s="7" t="str">
        <x:v>中文名称 / 型号</x:v>
      </x:c>
      <x:c r="D5" s="7" t="str">
        <x:v>采购价（MC）</x:v>
      </x:c>
      <x:c r="E5" s="7" t="str">
        <x:v>消耗单位</x:v>
      </x:c>
      <x:c r="F5" s="7" t="str">
        <x:v>消耗单价（MC）</x:v>
      </x:c>
      <x:c r="G5" s="7" t="str">
        <x:v>计费方式</x:v>
      </x:c>
      <x:c r="H5" s="7" t="str">
        <x:v>散热器更换（MC/件）</x:v>
      </x:c>
      <x:c r="I5" s="7" t="str">
        <x:v>本体系数</x:v>
      </x:c>
      <x:c r="J5" s="7" t="str">
        <x:v>消耗系数</x:v>
      </x:c>
      <x:c r="K5" s="7" t="str">
        <x:v>本体基础键</x:v>
      </x:c>
      <x:c r="L5" s="7" t="str">
        <x:v>消耗基础键</x:v>
      </x:c>
      <x:c r="M5" s="7" t="str">
        <x:v>计价说明</x:v>
      </x:c>
      <x:c r="N5" s="7" t="str">
        <x:v>游戏资料链接</x:v>
      </x:c>
      <x:c r="O5" s="7" t="str">
        <x:v>资料状态</x:v>
      </x:c>
      <x:c r="P5" s="7" t="str">
        <x:v>英文原名</x:v>
      </x:c>
      <x:c r="Q5" s="7" t="str">
        <x:v>中文名称依据</x:v>
      </x:c>
      <x:c r="R5" s="61" t="str">
        <x:v>中文背景摘要</x:v>
      </x:c>
      <x:c r="S5" s="61" t="str">
        <x:v>背景与定价依据</x:v>
      </x:c>
      <x:c r="T5" s="61" t="str">
        <x:v>本轮审查状态</x:v>
      </x:c>
    </x:row>
    <x:row r="6" ht="52" customHeight="1">
      <x:c r="A6" s="8" t="str">
        <x:v>EQ-001</x:v>
      </x:c>
      <x:c r="B6" s="8" t="str">
        <x:v>主武器</x:v>
      </x:c>
      <x:c r="C6" s="8" t="str">
        <x:v>AR-23 解放者</x:v>
      </x:c>
      <x:c r="D6" s="14" t="n">
        <x:f>ROUND('定价参数'!$D$46*I6,2)</x:f>
        <x:v>2000</x:v>
      </x:c>
      <x:c r="E6" s="8" t="str">
        <x:v>发</x:v>
      </x:c>
      <x:c r="F6" s="14" t="n">
        <x:f>ROUND('定价参数'!$D$6*J6,2)</x:f>
        <x:v>0.35</x:v>
      </x:c>
      <x:c r="G6" s="8" t="str">
        <x:v>消耗时计费</x:v>
      </x:c>
      <x:c r="H6" s="14" t="n">
        <x:f>0</x:f>
        <x:v>0</x:v>
      </x:c>
      <x:c r="I6" s="11" t="n">
        <x:v>1</x:v>
      </x:c>
      <x:c r="J6" s="11" t="n">
        <x:v>1</x:v>
      </x:c>
      <x:c r="K6" s="8" t="str">
        <x:v>B_AR</x:v>
      </x:c>
      <x:c r="L6" s="8" t="str">
        <x:v>A_RIFLE_L</x:v>
      </x:c>
      <x:c r="M6" s="8" t="str">
        <x:v>采购价供装备价值对照；随身初始武器本体不逐次收费。</x:v>
      </x:c>
      <x:c r="N6" s="8" t="str">
        <x:v>https://helldivers.wiki.gg/wiki/AR-23_Liberator</x:v>
      </x:c>
      <x:c r="O6" s="8" t="str">
        <x:v>Wiki背景已核对；价格为MOD标准</x:v>
      </x:c>
      <x:c r="P6" s="8" t="str">
        <x:v>AR-23 Liberator</x:v>
      </x:c>
      <x:c r="Q6" s="8" t="str">
        <x:v>中文Wiki用名</x:v>
      </x:c>
      <x:c r="R6" s="62" t="str">
        <x:v>SEAF制式突击步枪，兼顾威力、射速和重量。</x:v>
      </x:c>
      <x:c r="S6" s="62" t="str">
        <x:v>保留标准枪械/普通弹成本；射速、容量和联动厂商只影响用量或设备结构，不自动提高每发价。</x:v>
      </x:c>
      <x:c r="T6" s="62" t="str">
        <x:v>Wiki原文已逐页核对 · 2026-10-08</x:v>
      </x:c>
    </x:row>
    <x:row r="7" ht="52" customHeight="1">
      <x:c r="A7" s="2" t="str">
        <x:v>EQ-002</x:v>
      </x:c>
      <x:c r="B7" s="2" t="str">
        <x:v>主武器</x:v>
      </x:c>
      <x:c r="C7" s="2" t="str">
        <x:v>AR-23P 穿甲解放者</x:v>
      </x:c>
      <x:c r="D7" s="15" t="n">
        <x:f>ROUND('定价参数'!$D$46*I7,2)</x:f>
        <x:v>2200</x:v>
      </x:c>
      <x:c r="E7" s="2" t="str">
        <x:v>发</x:v>
      </x:c>
      <x:c r="F7" s="15" t="n">
        <x:f>ROUND('定价参数'!$D$6*J7,2)</x:f>
        <x:v>0.7</x:v>
      </x:c>
      <x:c r="G7" s="2" t="str">
        <x:v>消耗时计费</x:v>
      </x:c>
      <x:c r="H7" s="15" t="n">
        <x:f>0</x:f>
        <x:v>0</x:v>
      </x:c>
      <x:c r="I7" s="11" t="n">
        <x:v>1.1</x:v>
      </x:c>
      <x:c r="J7" s="11" t="n">
        <x:v>2</x:v>
      </x:c>
      <x:c r="K7" s="2" t="str">
        <x:v>B_AR</x:v>
      </x:c>
      <x:c r="L7" s="2" t="str">
        <x:v>A_RIFLE_L</x:v>
      </x:c>
      <x:c r="M7" s="2" t="str">
        <x:v>采购价供装备价值对照；随身初始武器本体不逐次收费。</x:v>
      </x:c>
      <x:c r="N7" s="2" t="str">
        <x:v>https://helldivers.wiki.gg/wiki/AR-23P_Liberator_Penetrator</x:v>
      </x:c>
      <x:c r="O7" s="2" t="str">
        <x:v>Wiki背景已核对；价格为MOD标准</x:v>
      </x:c>
      <x:c r="P7" s="2" t="str">
        <x:v>AR-23P Liberator Penetrator</x:v>
      </x:c>
      <x:c r="Q7" s="2" t="str">
        <x:v>中文Wiki用名</x:v>
      </x:c>
      <x:c r="R7" s="25" t="str">
        <x:v>解放者的瞄准镜及穿甲弹改型。</x:v>
      </x:c>
      <x:c r="S7" s="25" t="str">
        <x:v>保留大口径或穿甲弹溢价，未按伤害数值直接换算成本；每枚母弹只记一次。</x:v>
      </x:c>
      <x:c r="T7" s="25" t="str">
        <x:v>Wiki原文已逐页核对 · 2026-10-08</x:v>
      </x:c>
    </x:row>
    <x:row r="8" ht="52" customHeight="1">
      <x:c r="A8" s="8" t="str">
        <x:v>EQ-003</x:v>
      </x:c>
      <x:c r="B8" s="8" t="str">
        <x:v>主武器</x:v>
      </x:c>
      <x:c r="C8" s="8" t="str">
        <x:v>AR-23C 震荡解放者</x:v>
      </x:c>
      <x:c r="D8" s="14" t="n">
        <x:f>ROUND('定价参数'!$D$46*I8,2)</x:f>
        <x:v>2200</x:v>
      </x:c>
      <x:c r="E8" s="8" t="str">
        <x:v>发</x:v>
      </x:c>
      <x:c r="F8" s="14" t="n">
        <x:f>ROUND('定价参数'!$D$6*J8,2)</x:f>
        <x:v>0.88</x:v>
      </x:c>
      <x:c r="G8" s="8" t="str">
        <x:v>消耗时计费</x:v>
      </x:c>
      <x:c r="H8" s="14" t="n">
        <x:f>0</x:f>
        <x:v>0</x:v>
      </x:c>
      <x:c r="I8" s="11" t="n">
        <x:v>1.1</x:v>
      </x:c>
      <x:c r="J8" s="11" t="n">
        <x:v>2.5</x:v>
      </x:c>
      <x:c r="K8" s="8" t="str">
        <x:v>B_AR</x:v>
      </x:c>
      <x:c r="L8" s="8" t="str">
        <x:v>A_RIFLE_L</x:v>
      </x:c>
      <x:c r="M8" s="8" t="str">
        <x:v>采购价供装备价值对照；随身初始武器本体不逐次收费。</x:v>
      </x:c>
      <x:c r="N8" s="8" t="str">
        <x:v>https://helldivers.wiki.gg/wiki/AR-23C_Liberator_Concussive</x:v>
      </x:c>
      <x:c r="O8" s="8" t="str">
        <x:v>Wiki背景已核对；价格为MOD标准</x:v>
      </x:c>
      <x:c r="P8" s="8" t="str">
        <x:v>AR-23C Liberator Concussive</x:v>
      </x:c>
      <x:c r="Q8" s="8" t="str">
        <x:v>中文Wiki用名</x:v>
      </x:c>
      <x:c r="R8" s="62" t="str">
        <x:v>改用震荡弹，降低伤害而加强对敌人的踉跄效果。</x:v>
      </x:c>
      <x:c r="S8" s="62" t="str">
        <x:v>保留标准枪械/普通弹成本；射速、容量和联动厂商只影响用量或设备结构，不自动提高每发价。</x:v>
      </x:c>
      <x:c r="T8" s="62" t="str">
        <x:v>Wiki原文已逐页核对 · 2026-10-08</x:v>
      </x:c>
    </x:row>
    <x:row r="9" ht="52" customHeight="1">
      <x:c r="A9" s="2" t="str">
        <x:v>EQ-004</x:v>
      </x:c>
      <x:c r="B9" s="2" t="str">
        <x:v>主武器</x:v>
      </x:c>
      <x:c r="C9" s="2" t="str">
        <x:v>BR-14 审判者</x:v>
      </x:c>
      <x:c r="D9" s="15" t="n">
        <x:f>ROUND('定价参数'!$D$46*I9,2)</x:f>
        <x:v>2400</x:v>
      </x:c>
      <x:c r="E9" s="2" t="str">
        <x:v>发</x:v>
      </x:c>
      <x:c r="F9" s="15" t="n">
        <x:f>ROUND('定价参数'!$D$8*J9,2)</x:f>
        <x:v>2.4</x:v>
      </x:c>
      <x:c r="G9" s="2" t="str">
        <x:v>消耗时计费</x:v>
      </x:c>
      <x:c r="H9" s="15" t="n">
        <x:f>0</x:f>
        <x:v>0</x:v>
      </x:c>
      <x:c r="I9" s="11" t="n">
        <x:v>1.2</x:v>
      </x:c>
      <x:c r="J9" s="11" t="n">
        <x:v>2</x:v>
      </x:c>
      <x:c r="K9" s="2" t="str">
        <x:v>B_AR</x:v>
      </x:c>
      <x:c r="L9" s="2" t="str">
        <x:v>A_RIFLE_M</x:v>
      </x:c>
      <x:c r="M9" s="2" t="str">
        <x:v>采购价供装备价值对照；随身初始武器本体不逐次收费。</x:v>
      </x:c>
      <x:c r="N9" s="2" t="str">
        <x:v>https://helldivers.wiki.gg/wiki/BR-14_Adjudicator</x:v>
      </x:c>
      <x:c r="O9" s="2" t="str">
        <x:v>Wiki背景已核对；价格为MOD标准</x:v>
      </x:c>
      <x:c r="P9" s="2" t="str">
        <x:v>BR-14 Adjudicator</x:v>
      </x:c>
      <x:c r="Q9" s="2" t="str">
        <x:v>中文Wiki用名</x:v>
      </x:c>
      <x:c r="R9" s="25" t="str">
        <x:v>精确的穿甲步枪，弹匣容量较小。</x:v>
      </x:c>
      <x:c r="S9" s="25" t="str">
        <x:v>保留大口径或穿甲弹溢价，未按伤害数值直接换算成本；每枚母弹只记一次。</x:v>
      </x:c>
      <x:c r="T9" s="25" t="str">
        <x:v>Wiki原文已逐页核对 · 2026-10-08</x:v>
      </x:c>
    </x:row>
    <x:row r="10" ht="52" customHeight="1">
      <x:c r="A10" s="8" t="str">
        <x:v>EQ-005</x:v>
      </x:c>
      <x:c r="B10" s="8" t="str">
        <x:v>主武器</x:v>
      </x:c>
      <x:c r="C10" s="8" t="str">
        <x:v>AR-61 肉锤</x:v>
      </x:c>
      <x:c r="D10" s="14" t="n">
        <x:f>ROUND('定价参数'!$D$46*I10,2)</x:f>
        <x:v>2200</x:v>
      </x:c>
      <x:c r="E10" s="8" t="str">
        <x:v>发</x:v>
      </x:c>
      <x:c r="F10" s="14" t="n">
        <x:f>ROUND('定价参数'!$D$8*J10,2)</x:f>
        <x:v>1.2</x:v>
      </x:c>
      <x:c r="G10" s="8" t="str">
        <x:v>消耗时计费</x:v>
      </x:c>
      <x:c r="H10" s="14" t="n">
        <x:f>0</x:f>
        <x:v>0</x:v>
      </x:c>
      <x:c r="I10" s="11" t="n">
        <x:v>1.1</x:v>
      </x:c>
      <x:c r="J10" s="11" t="n">
        <x:v>1</x:v>
      </x:c>
      <x:c r="K10" s="8" t="str">
        <x:v>B_AR</x:v>
      </x:c>
      <x:c r="L10" s="8" t="str">
        <x:v>A_RIFLE_M</x:v>
      </x:c>
      <x:c r="M10" s="8" t="str">
        <x:v>采购价供装备价值对照；随身初始武器本体不逐次收费。</x:v>
      </x:c>
      <x:c r="N10" s="8" t="str">
        <x:v>https://helldivers.wiki.gg/wiki/AR-61_Tenderizer</x:v>
      </x:c>
      <x:c r="O10" s="8" t="str">
        <x:v>Wiki背景已核对；价格为MOD标准</x:v>
      </x:c>
      <x:c r="P10" s="8" t="str">
        <x:v>AR-61 Tenderizer</x:v>
      </x:c>
      <x:c r="Q10" s="8" t="str">
        <x:v>中文Wiki用名</x:v>
      </x:c>
      <x:c r="R10" s="62" t="str">
        <x:v>大口径步枪，以较小弹匣换取停止作用。</x:v>
      </x:c>
      <x:c r="S10" s="62" t="str">
        <x:v>保留大口径或穿甲弹溢价，未按伤害数值直接换算成本；每枚母弹只记一次。</x:v>
      </x:c>
      <x:c r="T10" s="62" t="str">
        <x:v>Wiki原文已逐页核对 · 2026-10-08</x:v>
      </x:c>
    </x:row>
    <x:row r="11" ht="52" customHeight="1">
      <x:c r="A11" s="2" t="str">
        <x:v>EQ-006</x:v>
      </x:c>
      <x:c r="B11" s="2" t="str">
        <x:v>主武器</x:v>
      </x:c>
      <x:c r="C11" s="2" t="str">
        <x:v>AR-23A 解放者卡宾枪</x:v>
      </x:c>
      <x:c r="D11" s="15" t="n">
        <x:f>ROUND('定价参数'!$D$46*I11,2)</x:f>
        <x:v>2200</x:v>
      </x:c>
      <x:c r="E11" s="2" t="str">
        <x:v>发</x:v>
      </x:c>
      <x:c r="F11" s="15" t="n">
        <x:f>ROUND('定价参数'!$D$6*J11,2)</x:f>
        <x:v>0.35</x:v>
      </x:c>
      <x:c r="G11" s="2" t="str">
        <x:v>消耗时计费</x:v>
      </x:c>
      <x:c r="H11" s="15" t="n">
        <x:f>0</x:f>
        <x:v>0</x:v>
      </x:c>
      <x:c r="I11" s="11" t="n">
        <x:v>1.1</x:v>
      </x:c>
      <x:c r="J11" s="11" t="n">
        <x:v>1</x:v>
      </x:c>
      <x:c r="K11" s="2" t="str">
        <x:v>B_AR</x:v>
      </x:c>
      <x:c r="L11" s="2" t="str">
        <x:v>A_RIFLE_L</x:v>
      </x:c>
      <x:c r="M11" s="2" t="str">
        <x:v>采购价供装备价值对照；随身初始武器本体不逐次收费。</x:v>
      </x:c>
      <x:c r="N11" s="2" t="str">
        <x:v>https://helldivers.wiki.gg/wiki/AR-23A_Liberator_Carbine</x:v>
      </x:c>
      <x:c r="O11" s="2" t="str">
        <x:v>Wiki背景已核对；价格为MOD标准</x:v>
      </x:c>
      <x:c r="P11" s="2" t="str">
        <x:v>AR-23A Liberator Carbine</x:v>
      </x:c>
      <x:c r="Q11" s="2" t="str">
        <x:v>中文Wiki用名</x:v>
      </x:c>
      <x:c r="R11" s="25" t="str">
        <x:v>解放者的紧凑卡宾型，提高射速但增加散布。</x:v>
      </x:c>
      <x:c r="S11" s="25" t="str">
        <x:v>保留标准枪械/普通弹成本；射速、容量和联动厂商只影响用量或设备结构，不自动提高每发价。</x:v>
      </x:c>
      <x:c r="T11" s="25" t="str">
        <x:v>Wiki原文已逐页核对 · 2026-10-08</x:v>
      </x:c>
    </x:row>
    <x:row r="12" ht="52" customHeight="1">
      <x:c r="A12" s="8" t="str">
        <x:v>EQ-007</x:v>
      </x:c>
      <x:c r="B12" s="8" t="str">
        <x:v>主武器</x:v>
      </x:c>
      <x:c r="C12" s="8" t="str">
        <x:v>StA-52 突击步枪</x:v>
      </x:c>
      <x:c r="D12" s="14" t="n">
        <x:f>ROUND('定价参数'!$D$46*I12,2)</x:f>
        <x:v>2600</x:v>
      </x:c>
      <x:c r="E12" s="8" t="str">
        <x:v>发</x:v>
      </x:c>
      <x:c r="F12" s="14" t="n">
        <x:f>ROUND('定价参数'!$D$6*J12,2)</x:f>
        <x:v>0.35</x:v>
      </x:c>
      <x:c r="G12" s="8" t="str">
        <x:v>消耗时计费</x:v>
      </x:c>
      <x:c r="H12" s="14" t="n">
        <x:f>0</x:f>
        <x:v>0</x:v>
      </x:c>
      <x:c r="I12" s="11" t="n">
        <x:v>1.3</x:v>
      </x:c>
      <x:c r="J12" s="11" t="n">
        <x:v>1</x:v>
      </x:c>
      <x:c r="K12" s="8" t="str">
        <x:v>B_AR</x:v>
      </x:c>
      <x:c r="L12" s="8" t="str">
        <x:v>A_RIFLE_L</x:v>
      </x:c>
      <x:c r="M12" s="8" t="str">
        <x:v>采购价供装备价值对照；随身初始武器本体不逐次收费。</x:v>
      </x:c>
      <x:c r="N12" s="8" t="str">
        <x:v>https://helldivers.wiki.gg/wiki/StA-52_Assault_Rifle</x:v>
      </x:c>
      <x:c r="O12" s="8" t="str">
        <x:v>Wiki背景已核对；价格为MOD标准</x:v>
      </x:c>
      <x:c r="P12" s="8" t="str">
        <x:v>StA-52 Assault Rifle</x:v>
      </x:c>
      <x:c r="Q12" s="8" t="str">
        <x:v>中文Wiki用名</x:v>
      </x:c>
      <x:c r="R12" s="62" t="str">
        <x:v>Stål Arms制造，采用大容量弹鼓，适合持续射击。</x:v>
      </x:c>
      <x:c r="S12" s="62" t="str">
        <x:v>弹鼓、厂商和联动背景不构成特殊弹药；取消普通弹每发翻倍。</x:v>
      </x:c>
      <x:c r="T12" s="62" t="str">
        <x:v>Wiki原文已逐页核对 · 2026-10-08</x:v>
      </x:c>
    </x:row>
    <x:row r="13" ht="52" customHeight="1">
      <x:c r="A13" s="2" t="str">
        <x:v>EQ-008</x:v>
      </x:c>
      <x:c r="B13" s="2" t="str">
        <x:v>主武器</x:v>
      </x:c>
      <x:c r="C13" s="2" t="str">
        <x:v>AR-32 安抚者</x:v>
      </x:c>
      <x:c r="D13" s="15" t="n">
        <x:f>ROUND('定价参数'!$D$46*I13,2)</x:f>
        <x:v>2600</x:v>
      </x:c>
      <x:c r="E13" s="2" t="str">
        <x:v>发</x:v>
      </x:c>
      <x:c r="F13" s="15" t="n">
        <x:f>ROUND('定价参数'!$D$6*J13,2)</x:f>
        <x:v>2.8</x:v>
      </x:c>
      <x:c r="G13" s="2" t="str">
        <x:v>消耗时计费</x:v>
      </x:c>
      <x:c r="H13" s="15" t="n">
        <x:f>0</x:f>
        <x:v>0</x:v>
      </x:c>
      <x:c r="I13" s="11" t="n">
        <x:v>1.3</x:v>
      </x:c>
      <x:c r="J13" s="11" t="n">
        <x:v>8</x:v>
      </x:c>
      <x:c r="K13" s="2" t="str">
        <x:v>B_AR</x:v>
      </x:c>
      <x:c r="L13" s="2" t="str">
        <x:v>A_RIFLE_L</x:v>
      </x:c>
      <x:c r="M13" s="2" t="str">
        <x:v>采购价供装备价值对照；随身初始武器本体不逐次收费。</x:v>
      </x:c>
      <x:c r="N13" s="2" t="str">
        <x:v>https://helldivers.wiki.gg/wiki/AR-32_Pacifier</x:v>
      </x:c>
      <x:c r="O13" s="2" t="str">
        <x:v>Wiki背景已核对；价格为MOD标准</x:v>
      </x:c>
      <x:c r="P13" s="2" t="str">
        <x:v>AR-32 Pacifier</x:v>
      </x:c>
      <x:c r="Q13" s="2" t="str">
        <x:v>中文Wiki用名</x:v>
      </x:c>
      <x:c r="R13" s="25" t="str">
        <x:v>大容量步枪，发射可致眩晕的专用弹药。</x:v>
      </x:c>
      <x:c r="S13" s="25" t="str">
        <x:v>眩晕专用弹需额外功能载荷，区别于普通穿甲实弹。</x:v>
      </x:c>
      <x:c r="T13" s="25" t="str">
        <x:v>Wiki原文已逐页核对 · 2026-10-08</x:v>
      </x:c>
    </x:row>
    <x:row r="14" ht="52" customHeight="1">
      <x:c r="A14" s="8" t="str">
        <x:v>EQ-009</x:v>
      </x:c>
      <x:c r="B14" s="8" t="str">
        <x:v>主武器</x:v>
      </x:c>
      <x:c r="C14" s="8" t="str">
        <x:v>MA5C 突击步枪</x:v>
      </x:c>
      <x:c r="D14" s="14" t="n">
        <x:f>ROUND('定价参数'!$D$46*I14,2)</x:f>
        <x:v>2600</x:v>
      </x:c>
      <x:c r="E14" s="8" t="str">
        <x:v>发</x:v>
      </x:c>
      <x:c r="F14" s="14" t="n">
        <x:f>ROUND('定价参数'!$D$8*J14,2)</x:f>
        <x:v>1.2</x:v>
      </x:c>
      <x:c r="G14" s="8" t="str">
        <x:v>消耗时计费</x:v>
      </x:c>
      <x:c r="H14" s="14" t="n">
        <x:f>0</x:f>
        <x:v>0</x:v>
      </x:c>
      <x:c r="I14" s="11" t="n">
        <x:v>1.3</x:v>
      </x:c>
      <x:c r="J14" s="11" t="n">
        <x:v>1</x:v>
      </x:c>
      <x:c r="K14" s="8" t="str">
        <x:v>B_AR</x:v>
      </x:c>
      <x:c r="L14" s="8" t="str">
        <x:v>A_RIFLE_M</x:v>
      </x:c>
      <x:c r="M14" s="8" t="str">
        <x:v>采购价供装备价值对照；随身初始武器本体不逐次收费。</x:v>
      </x:c>
      <x:c r="N14" s="8" t="str">
        <x:v>https://helldivers.wiki.gg/wiki/MA5C_Assault_Rifle</x:v>
      </x:c>
      <x:c r="O14" s="8" t="str">
        <x:v>Wiki背景已核对；价格为MOD标准</x:v>
      </x:c>
      <x:c r="P14" s="8" t="str">
        <x:v>MA5C Assault Rifle</x:v>
      </x:c>
      <x:c r="Q14" s="8" t="str">
        <x:v>中文Wiki用名</x:v>
      </x:c>
      <x:c r="R14" s="62" t="str">
        <x:v>Martian Armory制造，装有弹药计数器与罗盘。</x:v>
      </x:c>
      <x:c r="S14" s="62" t="str">
        <x:v>保留标准枪械/普通弹成本；射速、容量和联动厂商只影响用量或设备结构，不自动提高每发价。</x:v>
      </x:c>
      <x:c r="T14" s="62" t="str">
        <x:v>Wiki原文已逐页核对 · 2026-10-08</x:v>
      </x:c>
    </x:row>
    <x:row r="15" ht="52" customHeight="1">
      <x:c r="A15" s="2" t="str">
        <x:v>EQ-010</x:v>
      </x:c>
      <x:c r="B15" s="2" t="str">
        <x:v>主武器</x:v>
      </x:c>
      <x:c r="C15" s="2" t="str">
        <x:v>AR-2 野狼</x:v>
      </x:c>
      <x:c r="D15" s="15" t="n">
        <x:f>ROUND('定价参数'!$D$46*I15,2)</x:f>
        <x:v>2400</x:v>
      </x:c>
      <x:c r="E15" s="2" t="str">
        <x:v>发</x:v>
      </x:c>
      <x:c r="F15" s="15" t="n">
        <x:f>ROUND('定价参数'!$D$8*J15,2)</x:f>
        <x:v>3.6</x:v>
      </x:c>
      <x:c r="G15" s="2" t="str">
        <x:v>消耗时计费</x:v>
      </x:c>
      <x:c r="H15" s="15" t="n">
        <x:f>0</x:f>
        <x:v>0</x:v>
      </x:c>
      <x:c r="I15" s="11" t="n">
        <x:v>1.2</x:v>
      </x:c>
      <x:c r="J15" s="11" t="n">
        <x:v>3</x:v>
      </x:c>
      <x:c r="K15" s="2" t="str">
        <x:v>B_AR</x:v>
      </x:c>
      <x:c r="L15" s="2" t="str">
        <x:v>A_RIFLE_M</x:v>
      </x:c>
      <x:c r="M15" s="2" t="str">
        <x:v>采购价供装备价值对照；随身初始武器本体不逐次收费。</x:v>
      </x:c>
      <x:c r="N15" s="2" t="str">
        <x:v>https://helldivers.wiki.gg/wiki/AR-2_Coyote</x:v>
      </x:c>
      <x:c r="O15" s="2" t="str">
        <x:v>Wiki背景已核对；价格为MOD标准</x:v>
      </x:c>
      <x:c r="P15" s="2" t="str">
        <x:v>AR-2 Coyote</x:v>
      </x:c>
      <x:c r="Q15" s="2" t="str">
        <x:v>中文Wiki用名</x:v>
      </x:c>
      <x:c r="R15" s="25" t="str">
        <x:v>使用燃烧弹的可靠步枪，配传统机械瞄具。</x:v>
      </x:c>
      <x:c r="S15" s="25" t="str">
        <x:v>专用燃烧弹包含燃烧剂及穿甲结构，提高耗材价。</x:v>
      </x:c>
      <x:c r="T15" s="25" t="str">
        <x:v>Wiki原文已逐页核对 · 2026-10-08</x:v>
      </x:c>
    </x:row>
    <x:row r="16" ht="52" customHeight="1">
      <x:c r="A16" s="8" t="str">
        <x:v>EQ-011</x:v>
      </x:c>
      <x:c r="B16" s="8" t="str">
        <x:v>主武器</x:v>
      </x:c>
      <x:c r="C16" s="8" t="str">
        <x:v>AR/GL-21 幺二</x:v>
      </x:c>
      <x:c r="D16" s="14" t="n">
        <x:f>ROUND('定价参数'!$D$46*I16,2)</x:f>
        <x:v>3400</x:v>
      </x:c>
      <x:c r="E16" s="8" t="str">
        <x:v>发</x:v>
      </x:c>
      <x:c r="F16" s="14" t="n">
        <x:f>ROUND('定价参数'!$D$8*J16,2)</x:f>
        <x:v>1.2</x:v>
      </x:c>
      <x:c r="G16" s="8" t="str">
        <x:v>消耗时计费</x:v>
      </x:c>
      <x:c r="H16" s="14" t="n">
        <x:f>0</x:f>
        <x:v>0</x:v>
      </x:c>
      <x:c r="I16" s="11" t="n">
        <x:v>1.7</x:v>
      </x:c>
      <x:c r="J16" s="11" t="n">
        <x:v>1</x:v>
      </x:c>
      <x:c r="K16" s="8" t="str">
        <x:v>B_AR</x:v>
      </x:c>
      <x:c r="L16" s="8" t="str">
        <x:v>A_RIFLE_M</x:v>
      </x:c>
      <x:c r="M16" s="8" t="str">
        <x:v>采购价供装备价值对照；随身初始武器本体不逐次收费。主/副弹种另列，不能只按扳机动作计数。</x:v>
      </x:c>
      <x:c r="N16" s="8" t="str">
        <x:v>https://helldivers.wiki.gg/wiki/AR/GL-21_One-Two</x:v>
      </x:c>
      <x:c r="O16" s="8" t="str">
        <x:v>Wiki背景已核对；价格为MOD标准</x:v>
      </x:c>
      <x:c r="P16" s="8" t="str">
        <x:v>AR/GL-21 One-Two</x:v>
      </x:c>
      <x:c r="Q16" s="8" t="str">
        <x:v>中文Wiki用名</x:v>
      </x:c>
      <x:c r="R16" s="62" t="str">
        <x:v>组合突击步枪与下挂40mm榴弹发射器。</x:v>
      </x:c>
      <x:c r="S16" s="62" t="str">
        <x:v>保留标准枪械/普通弹成本；射速、容量和联动厂商只影响用量或设备结构，不自动提高每发价。</x:v>
      </x:c>
      <x:c r="T16" s="62" t="str">
        <x:v>Wiki原文已逐页核对 · 2026-10-08</x:v>
      </x:c>
    </x:row>
    <x:row r="17" ht="52" customHeight="1">
      <x:c r="A17" s="2" t="str">
        <x:v>EQ-012</x:v>
      </x:c>
      <x:c r="B17" s="2" t="str">
        <x:v>主武器</x:v>
      </x:c>
      <x:c r="C17" s="2" t="str">
        <x:v>AR-59 消音器</x:v>
      </x:c>
      <x:c r="D17" s="15" t="n">
        <x:f>ROUND('定价参数'!$D$46*I17,2)</x:f>
        <x:v>3000</x:v>
      </x:c>
      <x:c r="E17" s="2" t="str">
        <x:v>发</x:v>
      </x:c>
      <x:c r="F17" s="15" t="n">
        <x:f>ROUND('定价参数'!$D$6*J17,2)</x:f>
        <x:v>0.52</x:v>
      </x:c>
      <x:c r="G17" s="2" t="str">
        <x:v>消耗时计费</x:v>
      </x:c>
      <x:c r="H17" s="15" t="n">
        <x:f>0</x:f>
        <x:v>0</x:v>
      </x:c>
      <x:c r="I17" s="11" t="n">
        <x:v>1.5</x:v>
      </x:c>
      <x:c r="J17" s="11" t="n">
        <x:v>1.5</x:v>
      </x:c>
      <x:c r="K17" s="2" t="str">
        <x:v>B_AR</x:v>
      </x:c>
      <x:c r="L17" s="2" t="str">
        <x:v>A_RIFLE_L</x:v>
      </x:c>
      <x:c r="M17" s="2" t="str">
        <x:v>采购价供装备价值对照；随身初始武器本体不逐次收费。</x:v>
      </x:c>
      <x:c r="N17" s="2" t="str">
        <x:v>https://helldivers.wiki.gg/wiki/AR-59_Suppressor</x:v>
      </x:c>
      <x:c r="O17" s="2" t="str">
        <x:v>Wiki背景已核对；价格为MOD标准</x:v>
      </x:c>
      <x:c r="P17" s="2" t="str">
        <x:v>AR-59 Suppressor</x:v>
      </x:c>
      <x:c r="Q17" s="2" t="str">
        <x:v>中文Wiki用名</x:v>
      </x:c>
      <x:c r="R17" s="25" t="str">
        <x:v>配固定消音器，使用亚音速弹降低可察觉程度。</x:v>
      </x:c>
      <x:c r="S17" s="25" t="str">
        <x:v>消音器计入本体，亚音速专用装药计入弹药，分别溢价。</x:v>
      </x:c>
      <x:c r="T17" s="25" t="str">
        <x:v>Wiki原文已逐页核对 · 2026-10-08</x:v>
      </x:c>
    </x:row>
    <x:row r="18" ht="52" customHeight="1">
      <x:c r="A18" s="8" t="str">
        <x:v>EQ-013</x:v>
      </x:c>
      <x:c r="B18" s="8" t="str">
        <x:v>主武器</x:v>
      </x:c>
      <x:c r="C18" s="8" t="str">
        <x:v>AR-11 仲裁者</x:v>
      </x:c>
      <x:c r="D18" s="14" t="n">
        <x:f>ROUND('定价参数'!$D$46*I18,2)</x:f>
        <x:v>3600</x:v>
      </x:c>
      <x:c r="E18" s="8" t="str">
        <x:v>发</x:v>
      </x:c>
      <x:c r="F18" s="14" t="n">
        <x:f>ROUND('定价参数'!$D$6*J18,2)</x:f>
        <x:v>1.05</x:v>
      </x:c>
      <x:c r="G18" s="8" t="str">
        <x:v>消耗时计费</x:v>
      </x:c>
      <x:c r="H18" s="14" t="n">
        <x:f>0</x:f>
        <x:v>0</x:v>
      </x:c>
      <x:c r="I18" s="11" t="n">
        <x:v>1.8</x:v>
      </x:c>
      <x:c r="J18" s="11" t="n">
        <x:v>3</x:v>
      </x:c>
      <x:c r="K18" s="8" t="str">
        <x:v>B_AR</x:v>
      </x:c>
      <x:c r="L18" s="8" t="str">
        <x:v>A_RIFLE_L</x:v>
      </x:c>
      <x:c r="M18" s="8" t="str">
        <x:v>采购价供装备价值对照；随身初始武器本体不逐次收费。主/副弹种另列，不能只按扳机动作计数。</x:v>
      </x:c>
      <x:c r="N18" s="8" t="str">
        <x:v>https://helldivers.wiki.gg/wiki/AR-11_Arbitrator</x:v>
      </x:c>
      <x:c r="O18" s="8" t="str">
        <x:v>Wiki背景已核对；价格为MOD标准</x:v>
      </x:c>
      <x:c r="P18" s="8" t="str">
        <x:v>AR-11 Arbitrator</x:v>
      </x:c>
      <x:c r="Q18" s="8" t="str">
        <x:v>参考译名</x:v>
      </x:c>
      <x:c r="R18" s="62" t="str">
        <x:v>上置弹匣、无壳弹、电击发机构，另有下挂10号霰弹枪。</x:v>
      </x:c>
      <x:c r="S18" s="62" t="str">
        <x:v>4mm无壳弹不沿用7.62mm分类；计入无壳及电击发工艺。本体含下挂霰弹枪，霰弹单列。</x:v>
      </x:c>
      <x:c r="T18" s="62" t="str">
        <x:v>Wiki原文已逐页核对 · 2026-10-08</x:v>
      </x:c>
    </x:row>
    <x:row r="19" ht="52" customHeight="1">
      <x:c r="A19" s="2" t="str">
        <x:v>EQ-014</x:v>
      </x:c>
      <x:c r="B19" s="2" t="str">
        <x:v>主武器</x:v>
      </x:c>
      <x:c r="C19" s="2" t="str">
        <x:v>R-63 勤勉</x:v>
      </x:c>
      <x:c r="D19" s="15" t="n">
        <x:f>ROUND('定价参数'!$D$47*I19,2)</x:f>
        <x:v>3000</x:v>
      </x:c>
      <x:c r="E19" s="2" t="str">
        <x:v>发</x:v>
      </x:c>
      <x:c r="F19" s="15" t="n">
        <x:f>ROUND('定价参数'!$D$11*J19,2)</x:f>
        <x:v>2.5</x:v>
      </x:c>
      <x:c r="G19" s="2" t="str">
        <x:v>消耗时计费</x:v>
      </x:c>
      <x:c r="H19" s="15" t="n">
        <x:f>0</x:f>
        <x:v>0</x:v>
      </x:c>
      <x:c r="I19" s="11" t="n">
        <x:v>1</x:v>
      </x:c>
      <x:c r="J19" s="11" t="n">
        <x:v>1</x:v>
      </x:c>
      <x:c r="K19" s="2" t="str">
        <x:v>B_DMR</x:v>
      </x:c>
      <x:c r="L19" s="2" t="str">
        <x:v>A_DMR</x:v>
      </x:c>
      <x:c r="M19" s="2" t="str">
        <x:v>采购价供装备价值对照；随身初始武器本体不逐次收费。</x:v>
      </x:c>
      <x:c r="N19" s="2" t="str">
        <x:v>https://helldivers.wiki.gg/wiki/R-63_Diligence</x:v>
      </x:c>
      <x:c r="O19" s="2" t="str">
        <x:v>Wiki背景已核对；价格为MOD标准</x:v>
      </x:c>
      <x:c r="P19" s="2" t="str">
        <x:v>R-63 Diligence</x:v>
      </x:c>
      <x:c r="Q19" s="2" t="str">
        <x:v>中文Wiki用名</x:v>
      </x:c>
      <x:c r="R19" s="25" t="str">
        <x:v>以弹匣容量和射速换取大口径精确射击。</x:v>
      </x:c>
      <x:c r="S19" s="25" t="str">
        <x:v>保留大口径或穿甲弹溢价，未按伤害数值直接换算成本；每枚母弹只记一次。</x:v>
      </x:c>
      <x:c r="T19" s="25" t="str">
        <x:v>Wiki原文已逐页核对 · 2026-10-08</x:v>
      </x:c>
    </x:row>
    <x:row r="20" ht="52" customHeight="1">
      <x:c r="A20" s="8" t="str">
        <x:v>EQ-015</x:v>
      </x:c>
      <x:c r="B20" s="8" t="str">
        <x:v>主武器</x:v>
      </x:c>
      <x:c r="C20" s="8" t="str">
        <x:v>R-63CS 反狙击勤勉</x:v>
      </x:c>
      <x:c r="D20" s="14" t="n">
        <x:f>ROUND('定价参数'!$D$47*I20,2)</x:f>
        <x:v>3600</x:v>
      </x:c>
      <x:c r="E20" s="8" t="str">
        <x:v>发</x:v>
      </x:c>
      <x:c r="F20" s="14" t="n">
        <x:f>ROUND('定价参数'!$D$11*J20,2)</x:f>
        <x:v>5</x:v>
      </x:c>
      <x:c r="G20" s="8" t="str">
        <x:v>消耗时计费</x:v>
      </x:c>
      <x:c r="H20" s="14" t="n">
        <x:f>0</x:f>
        <x:v>0</x:v>
      </x:c>
      <x:c r="I20" s="11" t="n">
        <x:v>1.2</x:v>
      </x:c>
      <x:c r="J20" s="11" t="n">
        <x:v>2</x:v>
      </x:c>
      <x:c r="K20" s="8" t="str">
        <x:v>B_DMR</x:v>
      </x:c>
      <x:c r="L20" s="8" t="str">
        <x:v>A_DMR</x:v>
      </x:c>
      <x:c r="M20" s="8" t="str">
        <x:v>采购价供装备价值对照；随身初始武器本体不逐次收费。</x:v>
      </x:c>
      <x:c r="N20" s="8" t="str">
        <x:v>https://helldivers.wiki.gg/wiki/R-63CS_Diligence_Counter_Sniper</x:v>
      </x:c>
      <x:c r="O20" s="8" t="str">
        <x:v>Wiki背景已核对；价格为MOD标准</x:v>
      </x:c>
      <x:c r="P20" s="8" t="str">
        <x:v>R-63CS Diligence Counter Sniper</x:v>
      </x:c>
      <x:c r="Q20" s="8" t="str">
        <x:v>中文Wiki用名</x:v>
      </x:c>
      <x:c r="R20" s="62" t="str">
        <x:v>勤勉的高威力改型，降低机动性以加强穿甲能力。</x:v>
      </x:c>
      <x:c r="S20" s="62" t="str">
        <x:v>保留大口径或穿甲弹溢价，未按伤害数值直接换算成本；每枚母弹只记一次。</x:v>
      </x:c>
      <x:c r="T20" s="62" t="str">
        <x:v>Wiki原文已逐页核对 · 2026-10-08</x:v>
      </x:c>
    </x:row>
    <x:row r="21" ht="52" customHeight="1">
      <x:c r="A21" s="2" t="str">
        <x:v>EQ-016</x:v>
      </x:c>
      <x:c r="B21" s="2" t="str">
        <x:v>主武器</x:v>
      </x:c>
      <x:c r="C21" s="2" t="str">
        <x:v>R-2124 宪法</x:v>
      </x:c>
      <x:c r="D21" s="15" t="n">
        <x:f>ROUND('定价参数'!$D$47*I21,2)</x:f>
        <x:v>900</x:v>
      </x:c>
      <x:c r="E21" s="2" t="str">
        <x:v>发</x:v>
      </x:c>
      <x:c r="F21" s="15" t="n">
        <x:f>ROUND('定价参数'!$D$11*J21,2)</x:f>
        <x:v>2.5</x:v>
      </x:c>
      <x:c r="G21" s="2" t="str">
        <x:v>消耗时计费</x:v>
      </x:c>
      <x:c r="H21" s="15" t="n">
        <x:f>0</x:f>
        <x:v>0</x:v>
      </x:c>
      <x:c r="I21" s="11" t="n">
        <x:v>0.3</x:v>
      </x:c>
      <x:c r="J21" s="11" t="n">
        <x:v>1</x:v>
      </x:c>
      <x:c r="K21" s="2" t="str">
        <x:v>B_DMR</x:v>
      </x:c>
      <x:c r="L21" s="2" t="str">
        <x:v>A_DMR</x:v>
      </x:c>
      <x:c r="M21" s="2" t="str">
        <x:v>采购价供装备价值对照；随身初始武器本体不逐次收费。</x:v>
      </x:c>
      <x:c r="N21" s="2" t="str">
        <x:v>https://helldivers.wiki.gg/wiki/R-2124_Constitution</x:v>
      </x:c>
      <x:c r="O21" s="2" t="str">
        <x:v>Wiki背景已核对；价格为MOD标准</x:v>
      </x:c>
      <x:c r="P21" s="2" t="str">
        <x:v>R-2124 Constitution</x:v>
      </x:c>
      <x:c r="Q21" s="2" t="str">
        <x:v>中文Wiki用名</x:v>
      </x:c>
      <x:c r="R21" s="25" t="str">
        <x:v>仿民主时代以前的古董礼仪步枪，传统上赠给16岁公民。</x:v>
      </x:c>
      <x:c r="S21" s="25" t="str">
        <x:v>保留标准枪械/普通弹成本；射速、容量和联动厂商只影响用量或设备结构，不自动提高每发价。</x:v>
      </x:c>
      <x:c r="T21" s="25" t="str">
        <x:v>Wiki原文已逐页核对 · 2026-10-08</x:v>
      </x:c>
    </x:row>
    <x:row r="22" ht="52" customHeight="1">
      <x:c r="A22" s="8" t="str">
        <x:v>EQ-017</x:v>
      </x:c>
      <x:c r="B22" s="8" t="str">
        <x:v>主武器</x:v>
      </x:c>
      <x:c r="C22" s="8" t="str">
        <x:v>R-6 鹰眼</x:v>
      </x:c>
      <x:c r="D22" s="14" t="n">
        <x:f>ROUND('定价参数'!$D$47*I22,2)</x:f>
        <x:v>1500</x:v>
      </x:c>
      <x:c r="E22" s="8" t="str">
        <x:v>发</x:v>
      </x:c>
      <x:c r="F22" s="14" t="n">
        <x:f>ROUND('定价参数'!$D$11*J22,2)</x:f>
        <x:v>5</x:v>
      </x:c>
      <x:c r="G22" s="8" t="str">
        <x:v>消耗时计费</x:v>
      </x:c>
      <x:c r="H22" s="14" t="n">
        <x:f>0</x:f>
        <x:v>0</x:v>
      </x:c>
      <x:c r="I22" s="11" t="n">
        <x:v>0.5</x:v>
      </x:c>
      <x:c r="J22" s="11" t="n">
        <x:v>2</x:v>
      </x:c>
      <x:c r="K22" s="8" t="str">
        <x:v>B_DMR</x:v>
      </x:c>
      <x:c r="L22" s="8" t="str">
        <x:v>A_DMR</x:v>
      </x:c>
      <x:c r="M22" s="8" t="str">
        <x:v>采购价供装备价值对照；随身初始武器本体不逐次收费。</x:v>
      </x:c>
      <x:c r="N22" s="8" t="str">
        <x:v>https://helldivers.wiki.gg/wiki/R-6_Deadeye</x:v>
      </x:c>
      <x:c r="O22" s="8" t="str">
        <x:v>Wiki背景已核对；价格为MOD标准</x:v>
      </x:c>
      <x:c r="P22" s="8" t="str">
        <x:v>R-6 Deadeye</x:v>
      </x:c>
      <x:c r="Q22" s="8" t="str">
        <x:v>中文Wiki用名</x:v>
      </x:c>
      <x:c r="R22" s="62" t="str">
        <x:v>杠杆式精确步枪，可逐发装填，适合中远距离。</x:v>
      </x:c>
      <x:c r="S22" s="62" t="str">
        <x:v>保留标准枪械/普通弹成本；射速、容量和联动厂商只影响用量或设备结构，不自动提高每发价。</x:v>
      </x:c>
      <x:c r="T22" s="62" t="str">
        <x:v>Wiki原文已逐页核对 · 2026-10-08</x:v>
      </x:c>
    </x:row>
    <x:row r="23" ht="52" customHeight="1">
      <x:c r="A23" s="2" t="str">
        <x:v>EQ-018</x:v>
      </x:c>
      <x:c r="B23" s="2" t="str">
        <x:v>主武器</x:v>
      </x:c>
      <x:c r="C23" s="2" t="str">
        <x:v>R-2 修正</x:v>
      </x:c>
      <x:c r="D23" s="15" t="n">
        <x:f>ROUND('定价参数'!$D$47*I23,2)</x:f>
        <x:v>1200</x:v>
      </x:c>
      <x:c r="E23" s="2" t="str">
        <x:v>发</x:v>
      </x:c>
      <x:c r="F23" s="15" t="n">
        <x:f>ROUND('定价参数'!$D$11*J23,2)</x:f>
        <x:v>2.5</x:v>
      </x:c>
      <x:c r="G23" s="2" t="str">
        <x:v>消耗时计费</x:v>
      </x:c>
      <x:c r="H23" s="15" t="n">
        <x:f>0</x:f>
        <x:v>0</x:v>
      </x:c>
      <x:c r="I23" s="11" t="n">
        <x:v>0.4</x:v>
      </x:c>
      <x:c r="J23" s="11" t="n">
        <x:v>1</x:v>
      </x:c>
      <x:c r="K23" s="2" t="str">
        <x:v>B_DMR</x:v>
      </x:c>
      <x:c r="L23" s="2" t="str">
        <x:v>A_DMR</x:v>
      </x:c>
      <x:c r="M23" s="2" t="str">
        <x:v>采购价供装备价值对照；随身初始武器本体不逐次收费。</x:v>
      </x:c>
      <x:c r="N23" s="2" t="str">
        <x:v>https://helldivers.wiki.gg/wiki/R-2_Amendment</x:v>
      </x:c>
      <x:c r="O23" s="2" t="str">
        <x:v>Wiki背景已核对；价格为MOD标准</x:v>
      </x:c>
      <x:c r="P23" s="2" t="str">
        <x:v>R-2 Amendment</x:v>
      </x:c>
      <x:c r="Q23" s="2" t="str">
        <x:v>中文Wiki用名</x:v>
      </x:c>
      <x:c r="R23" s="25" t="str">
        <x:v>带刺刀的半自动礼仪步枪，可三发点射进行纪念礼。</x:v>
      </x:c>
      <x:c r="S23" s="25" t="str">
        <x:v>保留标准枪械/普通弹成本；射速、容量和联动厂商只影响用量或设备结构，不自动提高每发价。</x:v>
      </x:c>
      <x:c r="T23" s="25" t="str">
        <x:v>Wiki原文已逐页核对 · 2026-10-08</x:v>
      </x:c>
    </x:row>
    <x:row r="24" ht="52" customHeight="1">
      <x:c r="A24" s="8" t="str">
        <x:v>EQ-019</x:v>
      </x:c>
      <x:c r="B24" s="8" t="str">
        <x:v>主武器</x:v>
      </x:c>
      <x:c r="C24" s="8" t="str">
        <x:v>R-72 审查官</x:v>
      </x:c>
      <x:c r="D24" s="14" t="n">
        <x:f>ROUND('定价参数'!$D$47*I24,2)</x:f>
        <x:v>4500</x:v>
      </x:c>
      <x:c r="E24" s="8" t="str">
        <x:v>发</x:v>
      </x:c>
      <x:c r="F24" s="14" t="n">
        <x:f>ROUND('定价参数'!$D$11*J24,2)</x:f>
        <x:v>5</x:v>
      </x:c>
      <x:c r="G24" s="8" t="str">
        <x:v>消耗时计费</x:v>
      </x:c>
      <x:c r="H24" s="14" t="n">
        <x:f>0</x:f>
        <x:v>0</x:v>
      </x:c>
      <x:c r="I24" s="11" t="n">
        <x:v>1.5</x:v>
      </x:c>
      <x:c r="J24" s="11" t="n">
        <x:v>2</x:v>
      </x:c>
      <x:c r="K24" s="8" t="str">
        <x:v>B_DMR</x:v>
      </x:c>
      <x:c r="L24" s="8" t="str">
        <x:v>A_DMR</x:v>
      </x:c>
      <x:c r="M24" s="8" t="str">
        <x:v>采购价供装备价值对照；随身初始武器本体不逐次收费。</x:v>
      </x:c>
      <x:c r="N24" s="8" t="str">
        <x:v>https://helldivers.wiki.gg/wiki/R-72_Censor</x:v>
      </x:c>
      <x:c r="O24" s="8" t="str">
        <x:v>Wiki背景已核对；价格为MOD标准</x:v>
      </x:c>
      <x:c r="P24" s="8" t="str">
        <x:v>R-72 Censor</x:v>
      </x:c>
      <x:c r="Q24" s="8" t="str">
        <x:v>中文Wiki用名</x:v>
      </x:c>
      <x:c r="R24" s="62" t="str">
        <x:v>中距离精确步枪，内置消音器并使用亚音速弹。</x:v>
      </x:c>
      <x:c r="S24" s="62" t="str">
        <x:v>固定消音器增加本体价，亚音速精确弹仍高于普通射手弹；取消过高的三倍耗材系数。</x:v>
      </x:c>
      <x:c r="T24" s="62" t="str">
        <x:v>Wiki原文已逐页核对 · 2026-10-08</x:v>
      </x:c>
    </x:row>
    <x:row r="25" ht="52" customHeight="1">
      <x:c r="A25" s="2" t="str">
        <x:v>EQ-020</x:v>
      </x:c>
      <x:c r="B25" s="2" t="str">
        <x:v>主武器</x:v>
      </x:c>
      <x:c r="C25" s="2" t="str">
        <x:v>R-4 鬣狗</x:v>
      </x:c>
      <x:c r="D25" s="15" t="n">
        <x:f>ROUND('定价参数'!$D$47*I25,2)</x:f>
        <x:v>4500</x:v>
      </x:c>
      <x:c r="E25" s="2" t="str">
        <x:v>发</x:v>
      </x:c>
      <x:c r="F25" s="15" t="n">
        <x:f>ROUND('定价参数'!$D$11*J25,2)</x:f>
        <x:v>20</x:v>
      </x:c>
      <x:c r="G25" s="2" t="str">
        <x:v>消耗时计费</x:v>
      </x:c>
      <x:c r="H25" s="15" t="n">
        <x:f>0</x:f>
        <x:v>0</x:v>
      </x:c>
      <x:c r="I25" s="11" t="n">
        <x:v>1.5</x:v>
      </x:c>
      <x:c r="J25" s="11" t="n">
        <x:v>8</x:v>
      </x:c>
      <x:c r="K25" s="2" t="str">
        <x:v>B_DMR</x:v>
      </x:c>
      <x:c r="L25" s="2" t="str">
        <x:v>A_DMR</x:v>
      </x:c>
      <x:c r="M25" s="2" t="str">
        <x:v>采购价供装备价值对照；随身初始武器本体不逐次收费。</x:v>
      </x:c>
      <x:c r="N25" s="2" t="str">
        <x:v>https://helldivers.wiki.gg/wiki/R-4_Hyena</x:v>
      </x:c>
      <x:c r="O25" s="2" t="str">
        <x:v>Wiki背景已核对；价格为MOD标准</x:v>
      </x:c>
      <x:c r="P25" s="2" t="str">
        <x:v>R-4 Hyena</x:v>
      </x:c>
      <x:c r="Q25" s="2" t="str">
        <x:v>中文Wiki用名</x:v>
      </x:c>
      <x:c r="R25" s="25" t="str">
        <x:v>重型大口径精确步枪，发射涂覆铝热剂的穿甲燃烧弹。</x:v>
      </x:c>
      <x:c r="S25" s="25" t="str">
        <x:v>穿甲弹芯加铝热涂层，不能只按普通大口径弹；本体按重型精确步枪。</x:v>
      </x:c>
      <x:c r="T25" s="25" t="str">
        <x:v>Wiki原文已逐页核对 · 2026-10-08</x:v>
      </x:c>
    </x:row>
    <x:row r="26" ht="52" customHeight="1">
      <x:c r="A26" s="8" t="str">
        <x:v>EQ-021</x:v>
      </x:c>
      <x:c r="B26" s="8" t="str">
        <x:v>主武器</x:v>
      </x:c>
      <x:c r="C26" s="8" t="str">
        <x:v>MP-98 骑士</x:v>
      </x:c>
      <x:c r="D26" s="14" t="n">
        <x:f>ROUND('定价参数'!$D$48*I26,2)</x:f>
        <x:v>1980</x:v>
      </x:c>
      <x:c r="E26" s="8" t="str">
        <x:v>发</x:v>
      </x:c>
      <x:c r="F26" s="14" t="n">
        <x:f>ROUND('定价参数'!$D$7*J26,2)</x:f>
        <x:v>0.16</x:v>
      </x:c>
      <x:c r="G26" s="8" t="str">
        <x:v>消耗时计费</x:v>
      </x:c>
      <x:c r="H26" s="14" t="n">
        <x:f>0</x:f>
        <x:v>0</x:v>
      </x:c>
      <x:c r="I26" s="11" t="n">
        <x:v>1.1</x:v>
      </x:c>
      <x:c r="J26" s="11" t="n">
        <x:v>1</x:v>
      </x:c>
      <x:c r="K26" s="8" t="str">
        <x:v>B_SMG</x:v>
      </x:c>
      <x:c r="L26" s="8" t="str">
        <x:v>A_PISTOL_L</x:v>
      </x:c>
      <x:c r="M26" s="8" t="str">
        <x:v>采购价供装备价值对照；随身初始武器本体不逐次收费。</x:v>
      </x:c>
      <x:c r="N26" s="8" t="str">
        <x:v>https://helldivers.wiki.gg/wiki/MP-98_Knight</x:v>
      </x:c>
      <x:c r="O26" s="8" t="str">
        <x:v>Wiki背景已核对；价格为MOD标准</x:v>
      </x:c>
      <x:c r="P26" s="8" t="str">
        <x:v>MP-98 Knight</x:v>
      </x:c>
      <x:c r="Q26" s="8" t="str">
        <x:v>中文Wiki用名</x:v>
      </x:c>
      <x:c r="R26" s="62" t="str">
        <x:v>可单手使用的极高射速冲锋枪。</x:v>
      </x:c>
      <x:c r="S26" s="62" t="str">
        <x:v>保留标准枪械/普通弹成本；射速、容量和联动厂商只影响用量或设备结构，不自动提高每发价。</x:v>
      </x:c>
      <x:c r="T26" s="62" t="str">
        <x:v>Wiki原文已逐页核对 · 2026-10-08</x:v>
      </x:c>
    </x:row>
    <x:row r="27" ht="52" customHeight="1">
      <x:c r="A27" s="2" t="str">
        <x:v>EQ-022</x:v>
      </x:c>
      <x:c r="B27" s="2" t="str">
        <x:v>主武器</x:v>
      </x:c>
      <x:c r="C27" s="2" t="str">
        <x:v>SMG-37 防卫者</x:v>
      </x:c>
      <x:c r="D27" s="15" t="n">
        <x:f>ROUND('定价参数'!$D$48*I27,2)</x:f>
        <x:v>1800</x:v>
      </x:c>
      <x:c r="E27" s="2" t="str">
        <x:v>发</x:v>
      </x:c>
      <x:c r="F27" s="15" t="n">
        <x:f>ROUND('定价参数'!$D$10*J27,2)</x:f>
        <x:v>0.8</x:v>
      </x:c>
      <x:c r="G27" s="2" t="str">
        <x:v>消耗时计费</x:v>
      </x:c>
      <x:c r="H27" s="15" t="n">
        <x:f>0</x:f>
        <x:v>0</x:v>
      </x:c>
      <x:c r="I27" s="11" t="n">
        <x:v>1</x:v>
      </x:c>
      <x:c r="J27" s="11" t="n">
        <x:v>1</x:v>
      </x:c>
      <x:c r="K27" s="2" t="str">
        <x:v>B_SMG</x:v>
      </x:c>
      <x:c r="L27" s="2" t="str">
        <x:v>A_PISTOL_H</x:v>
      </x:c>
      <x:c r="M27" s="2" t="str">
        <x:v>采购价供装备价值对照；随身初始武器本体不逐次收费。</x:v>
      </x:c>
      <x:c r="N27" s="2" t="str">
        <x:v>https://helldivers.wiki.gg/wiki/SMG-37_Defender</x:v>
      </x:c>
      <x:c r="O27" s="2" t="str">
        <x:v>Wiki背景已核对；价格为MOD标准</x:v>
      </x:c>
      <x:c r="P27" s="2" t="str">
        <x:v>SMG-37 Defender</x:v>
      </x:c>
      <x:c r="Q27" s="2" t="str">
        <x:v>中文Wiki用名</x:v>
      </x:c>
      <x:c r="R27" s="25" t="str">
        <x:v>可单手使用的大口径冲锋枪，射速较低。</x:v>
      </x:c>
      <x:c r="S27" s="25" t="str">
        <x:v>保留大口径或穿甲弹溢价，未按伤害数值直接换算成本；每枚母弹只记一次。</x:v>
      </x:c>
      <x:c r="T27" s="25" t="str">
        <x:v>Wiki原文已逐页核对 · 2026-10-08</x:v>
      </x:c>
    </x:row>
    <x:row r="28" ht="52" customHeight="1">
      <x:c r="A28" s="8" t="str">
        <x:v>EQ-023</x:v>
      </x:c>
      <x:c r="B28" s="8" t="str">
        <x:v>主武器</x:v>
      </x:c>
      <x:c r="C28" s="8" t="str">
        <x:v>SMG-72 暴击斗士</x:v>
      </x:c>
      <x:c r="D28" s="14" t="n">
        <x:f>ROUND('定价参数'!$D$48*I28,2)</x:f>
        <x:v>2160</x:v>
      </x:c>
      <x:c r="E28" s="8" t="str">
        <x:v>发</x:v>
      </x:c>
      <x:c r="F28" s="14" t="n">
        <x:f>ROUND('定价参数'!$D$10*J28,2)</x:f>
        <x:v>2.4</x:v>
      </x:c>
      <x:c r="G28" s="8" t="str">
        <x:v>消耗时计费</x:v>
      </x:c>
      <x:c r="H28" s="14" t="n">
        <x:f>0</x:f>
        <x:v>0</x:v>
      </x:c>
      <x:c r="I28" s="11" t="n">
        <x:v>1.2</x:v>
      </x:c>
      <x:c r="J28" s="11" t="n">
        <x:v>3</x:v>
      </x:c>
      <x:c r="K28" s="8" t="str">
        <x:v>B_SMG</x:v>
      </x:c>
      <x:c r="L28" s="8" t="str">
        <x:v>A_PISTOL_H</x:v>
      </x:c>
      <x:c r="M28" s="8" t="str">
        <x:v>采购价供装备价值对照；随身初始武器本体不逐次收费。</x:v>
      </x:c>
      <x:c r="N28" s="8" t="str">
        <x:v>https://helldivers.wiki.gg/wiki/SMG-72_Pummeler</x:v>
      </x:c>
      <x:c r="O28" s="8" t="str">
        <x:v>Wiki背景已核对；价格为MOD标准</x:v>
      </x:c>
      <x:c r="P28" s="8" t="str">
        <x:v>SMG-72 Pummeler</x:v>
      </x:c>
      <x:c r="Q28" s="8" t="str">
        <x:v>中文Wiki用名</x:v>
      </x:c>
      <x:c r="R28" s="62" t="str">
        <x:v>使用震荡弹使敌人踉跄，射速较低。</x:v>
      </x:c>
      <x:c r="S28" s="62" t="str">
        <x:v>保留标准枪械/普通弹成本；射速、容量和联动厂商只影响用量或设备结构，不自动提高每发价。</x:v>
      </x:c>
      <x:c r="T28" s="62" t="str">
        <x:v>Wiki原文已逐页核对 · 2026-10-08</x:v>
      </x:c>
    </x:row>
    <x:row r="29" ht="52" customHeight="1">
      <x:c r="A29" s="2" t="str">
        <x:v>EQ-024</x:v>
      </x:c>
      <x:c r="B29" s="2" t="str">
        <x:v>主武器</x:v>
      </x:c>
      <x:c r="C29" s="2" t="str">
        <x:v>SMG-32 训斥</x:v>
      </x:c>
      <x:c r="D29" s="15" t="n">
        <x:f>ROUND('定价参数'!$D$48*I29,2)</x:f>
        <x:v>1980</x:v>
      </x:c>
      <x:c r="E29" s="2" t="str">
        <x:v>发</x:v>
      </x:c>
      <x:c r="F29" s="15" t="n">
        <x:f>ROUND('定价参数'!$D$10*J29,2)</x:f>
        <x:v>1.6</x:v>
      </x:c>
      <x:c r="G29" s="2" t="str">
        <x:v>消耗时计费</x:v>
      </x:c>
      <x:c r="H29" s="15" t="n">
        <x:f>0</x:f>
        <x:v>0</x:v>
      </x:c>
      <x:c r="I29" s="11" t="n">
        <x:v>1.1</x:v>
      </x:c>
      <x:c r="J29" s="11" t="n">
        <x:v>2</x:v>
      </x:c>
      <x:c r="K29" s="2" t="str">
        <x:v>B_SMG</x:v>
      </x:c>
      <x:c r="L29" s="2" t="str">
        <x:v>A_PISTOL_H</x:v>
      </x:c>
      <x:c r="M29" s="2" t="str">
        <x:v>采购价供装备价值对照；随身初始武器本体不逐次收费。</x:v>
      </x:c>
      <x:c r="N29" s="2" t="str">
        <x:v>https://helldivers.wiki.gg/wiki/SMG-32_Reprimand</x:v>
      </x:c>
      <x:c r="O29" s="2" t="str">
        <x:v>Wiki背景已核对；价格为MOD标准</x:v>
      </x:c>
      <x:c r="P29" s="2" t="str">
        <x:v>SMG-32 Reprimand</x:v>
      </x:c>
      <x:c r="Q29" s="2" t="str">
        <x:v>中文Wiki用名</x:v>
      </x:c>
      <x:c r="R29" s="25" t="str">
        <x:v>重型大口径冲锋枪，以较低射速控制后坐力。</x:v>
      </x:c>
      <x:c r="S29" s="25" t="str">
        <x:v>保留大口径或穿甲弹溢价，未按伤害数值直接换算成本；每枚母弹只记一次。</x:v>
      </x:c>
      <x:c r="T29" s="25" t="str">
        <x:v>Wiki原文已逐页核对 · 2026-10-08</x:v>
      </x:c>
    </x:row>
    <x:row r="30" ht="52" customHeight="1">
      <x:c r="A30" s="8" t="str">
        <x:v>EQ-025</x:v>
      </x:c>
      <x:c r="B30" s="8" t="str">
        <x:v>主武器</x:v>
      </x:c>
      <x:c r="C30" s="8" t="str">
        <x:v>StA-11 冲锋枪</x:v>
      </x:c>
      <x:c r="D30" s="14" t="n">
        <x:f>ROUND('定价参数'!$D$48*I30,2)</x:f>
        <x:v>2160</x:v>
      </x:c>
      <x:c r="E30" s="8" t="str">
        <x:v>发</x:v>
      </x:c>
      <x:c r="F30" s="14" t="n">
        <x:f>ROUND('定价参数'!$D$7*J30,2)</x:f>
        <x:v>0.16</x:v>
      </x:c>
      <x:c r="G30" s="8" t="str">
        <x:v>消耗时计费</x:v>
      </x:c>
      <x:c r="H30" s="14" t="n">
        <x:f>0</x:f>
        <x:v>0</x:v>
      </x:c>
      <x:c r="I30" s="11" t="n">
        <x:v>1.2</x:v>
      </x:c>
      <x:c r="J30" s="11" t="n">
        <x:v>1</x:v>
      </x:c>
      <x:c r="K30" s="8" t="str">
        <x:v>B_SMG</x:v>
      </x:c>
      <x:c r="L30" s="8" t="str">
        <x:v>A_PISTOL_L</x:v>
      </x:c>
      <x:c r="M30" s="8" t="str">
        <x:v>采购价供装备价值对照；随身初始武器本体不逐次收费。</x:v>
      </x:c>
      <x:c r="N30" s="8" t="str">
        <x:v>https://helldivers.wiki.gg/wiki/StA-11_SMG</x:v>
      </x:c>
      <x:c r="O30" s="8" t="str">
        <x:v>Wiki背景已核对；价格为MOD标准</x:v>
      </x:c>
      <x:c r="P30" s="8" t="str">
        <x:v>StA-11 SMG</x:v>
      </x:c>
      <x:c r="Q30" s="8" t="str">
        <x:v>中文Wiki用名</x:v>
      </x:c>
      <x:c r="R30" s="62" t="str">
        <x:v>Stål Arms制造，螺旋供弹弹匣提高容量但增加前部重量。</x:v>
      </x:c>
      <x:c r="S30" s="62" t="str">
        <x:v>保留标准枪械/普通弹成本；射速、容量和联动厂商只影响用量或设备结构，不自动提高每发价。</x:v>
      </x:c>
      <x:c r="T30" s="62" t="str">
        <x:v>Wiki原文已逐页核对 · 2026-10-08</x:v>
      </x:c>
    </x:row>
    <x:row r="31" ht="52" customHeight="1">
      <x:c r="A31" s="2" t="str">
        <x:v>EQ-026</x:v>
      </x:c>
      <x:c r="B31" s="2" t="str">
        <x:v>主武器</x:v>
      </x:c>
      <x:c r="C31" s="2" t="str">
        <x:v>M7S 冲锋枪</x:v>
      </x:c>
      <x:c r="D31" s="15" t="n">
        <x:f>ROUND('定价参数'!$D$48*I31,2)</x:f>
        <x:v>2700</x:v>
      </x:c>
      <x:c r="E31" s="2" t="str">
        <x:v>发</x:v>
      </x:c>
      <x:c r="F31" s="15" t="n">
        <x:f>ROUND('定价参数'!$D$7*J31,2)</x:f>
        <x:v>0.48</x:v>
      </x:c>
      <x:c r="G31" s="2" t="str">
        <x:v>消耗时计费</x:v>
      </x:c>
      <x:c r="H31" s="15" t="n">
        <x:f>0</x:f>
        <x:v>0</x:v>
      </x:c>
      <x:c r="I31" s="11" t="n">
        <x:v>1.5</x:v>
      </x:c>
      <x:c r="J31" s="11" t="n">
        <x:v>3</x:v>
      </x:c>
      <x:c r="K31" s="2" t="str">
        <x:v>B_SMG</x:v>
      </x:c>
      <x:c r="L31" s="2" t="str">
        <x:v>A_PISTOL_L</x:v>
      </x:c>
      <x:c r="M31" s="2" t="str">
        <x:v>采购价供装备价值对照；随身初始武器本体不逐次收费。</x:v>
      </x:c>
      <x:c r="N31" s="2" t="str">
        <x:v>https://helldivers.wiki.gg/wiki/M7S_SMG</x:v>
      </x:c>
      <x:c r="O31" s="2" t="str">
        <x:v>Wiki背景已核对；价格为MOD标准</x:v>
      </x:c>
      <x:c r="P31" s="2" t="str">
        <x:v>M7S SMG</x:v>
      </x:c>
      <x:c r="Q31" s="2" t="str">
        <x:v>中文Wiki用名</x:v>
      </x:c>
      <x:c r="R31" s="25" t="str">
        <x:v>使用无壳弹，配不可拆卸消音器的冲锋枪。</x:v>
      </x:c>
      <x:c r="S31" s="25" t="str">
        <x:v>无壳弹需专用制造工艺；本体含固定消音器。</x:v>
      </x:c>
      <x:c r="T31" s="25" t="str">
        <x:v>Wiki原文已逐页核对 · 2026-10-08</x:v>
      </x:c>
    </x:row>
    <x:row r="32" ht="52" customHeight="1">
      <x:c r="A32" s="8" t="str">
        <x:v>EQ-027</x:v>
      </x:c>
      <x:c r="B32" s="8" t="str">
        <x:v>主武器</x:v>
      </x:c>
      <x:c r="C32" s="8" t="str">
        <x:v>SMG/FLAM-34 司炉者</x:v>
      </x:c>
      <x:c r="D32" s="14" t="n">
        <x:f>ROUND('定价参数'!$D$48*I32,2)</x:f>
        <x:v>2880</x:v>
      </x:c>
      <x:c r="E32" s="8" t="str">
        <x:v>发</x:v>
      </x:c>
      <x:c r="F32" s="14" t="n">
        <x:f>ROUND('定价参数'!$D$10*J32,2)</x:f>
        <x:v>0.8</x:v>
      </x:c>
      <x:c r="G32" s="8" t="str">
        <x:v>消耗时计费</x:v>
      </x:c>
      <x:c r="H32" s="14" t="n">
        <x:f>0</x:f>
        <x:v>0</x:v>
      </x:c>
      <x:c r="I32" s="11" t="n">
        <x:v>1.6</x:v>
      </x:c>
      <x:c r="J32" s="11" t="n">
        <x:v>1</x:v>
      </x:c>
      <x:c r="K32" s="8" t="str">
        <x:v>B_SMG</x:v>
      </x:c>
      <x:c r="L32" s="8" t="str">
        <x:v>A_PISTOL_H</x:v>
      </x:c>
      <x:c r="M32" s="8" t="str">
        <x:v>采购价供装备价值对照；随身初始武器本体不逐次收费。主/副弹种另列，不能只按扳机动作计数。</x:v>
      </x:c>
      <x:c r="N32" s="8" t="str">
        <x:v>https://helldivers.wiki.gg/wiki/SMG/FLAM-34_Stoker</x:v>
      </x:c>
      <x:c r="O32" s="8" t="str">
        <x:v>Wiki背景已核对；价格为MOD标准</x:v>
      </x:c>
      <x:c r="P32" s="8" t="str">
        <x:v>SMG/FLAM-34 Stoker</x:v>
      </x:c>
      <x:c r="Q32" s="8" t="str">
        <x:v>中文Wiki用名</x:v>
      </x:c>
      <x:c r="R32" s="62" t="str">
        <x:v>冲锋枪与下挂火焰喷射器的组合。</x:v>
      </x:c>
      <x:c r="S32" s="62" t="str">
        <x:v>按专用燃料、药剂或装药计价，设备与耗材分开；现有基价与对应构造相符。</x:v>
      </x:c>
      <x:c r="T32" s="62" t="str">
        <x:v>Wiki原文已逐页核对 · 2026-10-08</x:v>
      </x:c>
    </x:row>
    <x:row r="33" ht="52" customHeight="1">
      <x:c r="A33" s="2" t="str">
        <x:v>EQ-028</x:v>
      </x:c>
      <x:c r="B33" s="2" t="str">
        <x:v>主武器</x:v>
      </x:c>
      <x:c r="C33" s="2" t="str">
        <x:v>SMG-203 英勇无畏</x:v>
      </x:c>
      <x:c r="D33" s="15" t="n">
        <x:f>ROUND('定价参数'!$D$48*I33,2)</x:f>
        <x:v>2160</x:v>
      </x:c>
      <x:c r="E33" s="2" t="str">
        <x:v>发</x:v>
      </x:c>
      <x:c r="F33" s="15" t="n">
        <x:f>ROUND('定价参数'!$D$7*J33,2)</x:f>
        <x:v>0.16</x:v>
      </x:c>
      <x:c r="G33" s="2" t="str">
        <x:v>消耗时计费</x:v>
      </x:c>
      <x:c r="H33" s="15" t="n">
        <x:f>0</x:f>
        <x:v>0</x:v>
      </x:c>
      <x:c r="I33" s="11" t="n">
        <x:v>1.2</x:v>
      </x:c>
      <x:c r="J33" s="11" t="n">
        <x:v>1</x:v>
      </x:c>
      <x:c r="K33" s="2" t="str">
        <x:v>B_SMG</x:v>
      </x:c>
      <x:c r="L33" s="2" t="str">
        <x:v>A_PISTOL_L</x:v>
      </x:c>
      <x:c r="M33" s="2" t="str">
        <x:v>采购价供装备价值对照；随身初始武器本体不逐次收费。</x:v>
      </x:c>
      <x:c r="N33" s="2" t="str">
        <x:v>https://helldivers.wiki.gg/wiki/SMG-203_Gallant</x:v>
      </x:c>
      <x:c r="O33" s="2" t="str">
        <x:v>Wiki背景已核对；价格为MOD标准</x:v>
      </x:c>
      <x:c r="P33" s="2" t="str">
        <x:v>SMG-203 Gallant</x:v>
      </x:c>
      <x:c r="Q33" s="2" t="str">
        <x:v>中文Wiki用名</x:v>
      </x:c>
      <x:c r="R33" s="25" t="str">
        <x:v>延长枪管提高初速，并加强穿甲能力的冲锋枪。</x:v>
      </x:c>
      <x:c r="S33" s="25" t="str">
        <x:v>描述把穿甲提升归因于长枪管及初速；溢价放在本体，不凭穿甲等级加倍普通弹价。</x:v>
      </x:c>
      <x:c r="T33" s="25" t="str">
        <x:v>Wiki原文已逐页核对 · 2026-10-08</x:v>
      </x:c>
    </x:row>
    <x:row r="34" ht="52" customHeight="1">
      <x:c r="A34" s="8" t="str">
        <x:v>EQ-029</x:v>
      </x:c>
      <x:c r="B34" s="8" t="str">
        <x:v>主武器</x:v>
      </x:c>
      <x:c r="C34" s="8" t="str">
        <x:v>SG-8 制裁者</x:v>
      </x:c>
      <x:c r="D34" s="14" t="n">
        <x:f>ROUND('定价参数'!$D$49*I34,2)</x:f>
        <x:v>1400</x:v>
      </x:c>
      <x:c r="E34" s="8" t="str">
        <x:v>发</x:v>
      </x:c>
      <x:c r="F34" s="14" t="n">
        <x:f>ROUND('定价参数'!$D$9*J34,2)</x:f>
        <x:v>0.52</x:v>
      </x:c>
      <x:c r="G34" s="8" t="str">
        <x:v>消耗时计费</x:v>
      </x:c>
      <x:c r="H34" s="14" t="n">
        <x:f>0</x:f>
        <x:v>0</x:v>
      </x:c>
      <x:c r="I34" s="11" t="n">
        <x:v>1</x:v>
      </x:c>
      <x:c r="J34" s="11" t="n">
        <x:v>1</x:v>
      </x:c>
      <x:c r="K34" s="8" t="str">
        <x:v>B_SHOT</x:v>
      </x:c>
      <x:c r="L34" s="8" t="str">
        <x:v>A_SHOT</x:v>
      </x:c>
      <x:c r="M34" s="8" t="str">
        <x:v>采购价供装备价值对照；随身初始武器本体不逐次收费。一壳计费；多弹丸不重复计费，多管同时发射按耗壳数。</x:v>
      </x:c>
      <x:c r="N34" s="8" t="str">
        <x:v>https://helldivers.wiki.gg/wiki/SG-8_Punisher</x:v>
      </x:c>
      <x:c r="O34" s="8" t="str">
        <x:v>Wiki背景已核对；价格为MOD标准</x:v>
      </x:c>
      <x:c r="P34" s="8" t="str">
        <x:v>SG-8 Punisher</x:v>
      </x:c>
      <x:c r="Q34" s="8" t="str">
        <x:v>中文Wiki用名</x:v>
      </x:c>
      <x:c r="R34" s="62" t="str">
        <x:v>双管式弹仓的泵动霰弹枪，适合近距离小型目标。</x:v>
      </x:c>
      <x:c r="S34" s="62" t="str">
        <x:v>保留标准枪械/普通弹成本；射速、容量和联动厂商只影响用量或设备结构，不自动提高每发价。</x:v>
      </x:c>
      <x:c r="T34" s="62" t="str">
        <x:v>Wiki原文已逐页核对 · 2026-10-08</x:v>
      </x:c>
    </x:row>
    <x:row r="35" ht="52" customHeight="1">
      <x:c r="A35" s="2" t="str">
        <x:v>EQ-030</x:v>
      </x:c>
      <x:c r="B35" s="2" t="str">
        <x:v>主武器</x:v>
      </x:c>
      <x:c r="C35" s="2" t="str">
        <x:v>SG-225 破裂者</x:v>
      </x:c>
      <x:c r="D35" s="15" t="n">
        <x:f>ROUND('定价参数'!$D$49*I35,2)</x:f>
        <x:v>1820</x:v>
      </x:c>
      <x:c r="E35" s="2" t="str">
        <x:v>发</x:v>
      </x:c>
      <x:c r="F35" s="15" t="n">
        <x:f>ROUND('定价参数'!$D$9*J35,2)</x:f>
        <x:v>0.52</x:v>
      </x:c>
      <x:c r="G35" s="2" t="str">
        <x:v>消耗时计费</x:v>
      </x:c>
      <x:c r="H35" s="15" t="n">
        <x:f>0</x:f>
        <x:v>0</x:v>
      </x:c>
      <x:c r="I35" s="11" t="n">
        <x:v>1.3</x:v>
      </x:c>
      <x:c r="J35" s="11" t="n">
        <x:v>1</x:v>
      </x:c>
      <x:c r="K35" s="2" t="str">
        <x:v>B_SHOT</x:v>
      </x:c>
      <x:c r="L35" s="2" t="str">
        <x:v>A_SHOT</x:v>
      </x:c>
      <x:c r="M35" s="2" t="str">
        <x:v>采购价供装备价值对照；随身初始武器本体不逐次收费。一壳计费；多弹丸不重复计费，多管同时发射按耗壳数。</x:v>
      </x:c>
      <x:c r="N35" s="2" t="str">
        <x:v>https://helldivers.wiki.gg/wiki/SG-225_Breaker</x:v>
      </x:c>
      <x:c r="O35" s="2" t="str">
        <x:v>Wiki背景已核对；价格为MOD标准</x:v>
      </x:c>
      <x:c r="P35" s="2" t="str">
        <x:v>SG-225 Breaker</x:v>
      </x:c>
      <x:c r="Q35" s="2" t="str">
        <x:v>中文Wiki用名</x:v>
      </x:c>
      <x:c r="R35" s="25" t="str">
        <x:v>高射速全自动霰弹枪，需要频繁换弹。</x:v>
      </x:c>
      <x:c r="S35" s="25" t="str">
        <x:v>保留标准枪械/普通弹成本；射速、容量和联动厂商只影响用量或设备结构，不自动提高每发价。</x:v>
      </x:c>
      <x:c r="T35" s="25" t="str">
        <x:v>Wiki原文已逐页核对 · 2026-10-08</x:v>
      </x:c>
    </x:row>
    <x:row r="36" ht="52" customHeight="1">
      <x:c r="A36" s="8" t="str">
        <x:v>EQ-031</x:v>
      </x:c>
      <x:c r="B36" s="8" t="str">
        <x:v>主武器</x:v>
      </x:c>
      <x:c r="C36" s="8" t="str">
        <x:v>SG-8S 重炮手</x:v>
      </x:c>
      <x:c r="D36" s="14" t="n">
        <x:f>ROUND('定价参数'!$D$49*I36,2)</x:f>
        <x:v>1400</x:v>
      </x:c>
      <x:c r="E36" s="8" t="str">
        <x:v>发</x:v>
      </x:c>
      <x:c r="F36" s="14" t="n">
        <x:f>ROUND('定价参数'!$D$9*J36,2)</x:f>
        <x:v>0.78</x:v>
      </x:c>
      <x:c r="G36" s="8" t="str">
        <x:v>消耗时计费</x:v>
      </x:c>
      <x:c r="H36" s="14" t="n">
        <x:f>0</x:f>
        <x:v>0</x:v>
      </x:c>
      <x:c r="I36" s="11" t="n">
        <x:v>1</x:v>
      </x:c>
      <x:c r="J36" s="11" t="n">
        <x:v>1.5</x:v>
      </x:c>
      <x:c r="K36" s="8" t="str">
        <x:v>B_SHOT</x:v>
      </x:c>
      <x:c r="L36" s="8" t="str">
        <x:v>A_SHOT</x:v>
      </x:c>
      <x:c r="M36" s="8" t="str">
        <x:v>采购价供装备价值对照；随身初始武器本体不逐次收费。一壳计费；多弹丸不重复计费，多管同时发射按耗壳数。</x:v>
      </x:c>
      <x:c r="N36" s="8" t="str">
        <x:v>https://helldivers.wiki.gg/wiki/SG-8S_Slugger</x:v>
      </x:c>
      <x:c r="O36" s="8" t="str">
        <x:v>Wiki背景已核对；价格为MOD标准</x:v>
      </x:c>
      <x:c r="P36" s="8" t="str">
        <x:v>SG-8S Slugger</x:v>
      </x:c>
      <x:c r="Q36" s="8" t="str">
        <x:v>中文Wiki用名</x:v>
      </x:c>
      <x:c r="R36" s="62" t="str">
        <x:v>惩罚者改用大威力独头弹的型号。</x:v>
      </x:c>
      <x:c r="S36" s="62" t="str">
        <x:v>保留标准枪械/普通弹成本；射速、容量和联动厂商只影响用量或设备结构，不自动提高每发价。</x:v>
      </x:c>
      <x:c r="T36" s="62" t="str">
        <x:v>Wiki原文已逐页核对 · 2026-10-08</x:v>
      </x:c>
    </x:row>
    <x:row r="37" ht="52" customHeight="1">
      <x:c r="A37" s="2" t="str">
        <x:v>EQ-032</x:v>
      </x:c>
      <x:c r="B37" s="2" t="str">
        <x:v>主武器</x:v>
      </x:c>
      <x:c r="C37" s="2" t="str">
        <x:v>SG-225SP 千发百中破裂者</x:v>
      </x:c>
      <x:c r="D37" s="15" t="n">
        <x:f>ROUND('定价参数'!$D$49*I37,2)</x:f>
        <x:v>1820</x:v>
      </x:c>
      <x:c r="E37" s="2" t="str">
        <x:v>发</x:v>
      </x:c>
      <x:c r="F37" s="15" t="n">
        <x:f>ROUND('定价参数'!$D$9*J37,2)</x:f>
        <x:v>0.47</x:v>
      </x:c>
      <x:c r="G37" s="2" t="str">
        <x:v>消耗时计费</x:v>
      </x:c>
      <x:c r="H37" s="15" t="n">
        <x:f>0</x:f>
        <x:v>0</x:v>
      </x:c>
      <x:c r="I37" s="11" t="n">
        <x:v>1.3</x:v>
      </x:c>
      <x:c r="J37" s="11" t="n">
        <x:v>0.9</x:v>
      </x:c>
      <x:c r="K37" s="2" t="str">
        <x:v>B_SHOT</x:v>
      </x:c>
      <x:c r="L37" s="2" t="str">
        <x:v>A_SHOT</x:v>
      </x:c>
      <x:c r="M37" s="2" t="str">
        <x:v>采购价供装备价值对照；随身初始武器本体不逐次收费。一壳计费；多弹丸不重复计费，多管同时发射按耗壳数。</x:v>
      </x:c>
      <x:c r="N37" s="2" t="str">
        <x:v>https://helldivers.wiki.gg/wiki/SG-225SP_Breaker_Spray%26Pray</x:v>
      </x:c>
      <x:c r="O37" s="2" t="str">
        <x:v>Wiki背景已核对；价格为MOD标准</x:v>
      </x:c>
      <x:c r="P37" s="2" t="str">
        <x:v>SG-225SP Breaker Spray&amp;Pray</x:v>
      </x:c>
      <x:c r="Q37" s="2" t="str">
        <x:v>中文Wiki用名</x:v>
      </x:c>
      <x:c r="R37" s="25" t="str">
        <x:v>破裂者改用小粒鸟弹，扩大覆盖范围。</x:v>
      </x:c>
      <x:c r="S37" s="25" t="str">
        <x:v>保留标准枪械/普通弹成本；射速、容量和联动厂商只影响用量或设备结构，不自动提高每发价。</x:v>
      </x:c>
      <x:c r="T37" s="25" t="str">
        <x:v>Wiki原文已逐页核对 · 2026-10-08</x:v>
      </x:c>
    </x:row>
    <x:row r="38" ht="52" customHeight="1">
      <x:c r="A38" s="8" t="str">
        <x:v>EQ-033</x:v>
      </x:c>
      <x:c r="B38" s="8" t="str">
        <x:v>主武器</x:v>
      </x:c>
      <x:c r="C38" s="8" t="str">
        <x:v>SG-225IE 高燃破裂者</x:v>
      </x:c>
      <x:c r="D38" s="14" t="n">
        <x:f>ROUND('定价参数'!$D$49*I38,2)</x:f>
        <x:v>1960</x:v>
      </x:c>
      <x:c r="E38" s="8" t="str">
        <x:v>发</x:v>
      </x:c>
      <x:c r="F38" s="14" t="n">
        <x:f>ROUND('定价参数'!$D$9*J38,2)</x:f>
        <x:v>1.56</x:v>
      </x:c>
      <x:c r="G38" s="8" t="str">
        <x:v>消耗时计费</x:v>
      </x:c>
      <x:c r="H38" s="14" t="n">
        <x:f>0</x:f>
        <x:v>0</x:v>
      </x:c>
      <x:c r="I38" s="11" t="n">
        <x:v>1.4</x:v>
      </x:c>
      <x:c r="J38" s="11" t="n">
        <x:v>3</x:v>
      </x:c>
      <x:c r="K38" s="8" t="str">
        <x:v>B_SHOT</x:v>
      </x:c>
      <x:c r="L38" s="8" t="str">
        <x:v>A_SHOT</x:v>
      </x:c>
      <x:c r="M38" s="8" t="str">
        <x:v>采购价供装备价值对照；随身初始武器本体不逐次收费。一壳计费；多弹丸不重复计费，多管同时发射按耗壳数。</x:v>
      </x:c>
      <x:c r="N38" s="8" t="str">
        <x:v>https://helldivers.wiki.gg/wiki/SG-225IE_Breaker_Incendiary</x:v>
      </x:c>
      <x:c r="O38" s="8" t="str">
        <x:v>Wiki背景已核对；价格为MOD标准</x:v>
      </x:c>
      <x:c r="P38" s="8" t="str">
        <x:v>SG-225IE Breaker Incendiary</x:v>
      </x:c>
      <x:c r="Q38" s="8" t="str">
        <x:v>中文Wiki用名</x:v>
      </x:c>
      <x:c r="R38" s="62" t="str">
        <x:v>破裂者的燃烧霰弹改型，使用点射限制热量。</x:v>
      </x:c>
      <x:c r="S38" s="62" t="str">
        <x:v>保留标准枪械/普通弹成本；射速、容量和联动厂商只影响用量或设备结构，不自动提高每发价。</x:v>
      </x:c>
      <x:c r="T38" s="62" t="str">
        <x:v>Wiki原文已逐页核对 · 2026-10-08</x:v>
      </x:c>
    </x:row>
    <x:row r="39" ht="52" customHeight="1">
      <x:c r="A39" s="2" t="str">
        <x:v>EQ-034</x:v>
      </x:c>
      <x:c r="B39" s="2" t="str">
        <x:v>主武器</x:v>
      </x:c>
      <x:c r="C39" s="2" t="str">
        <x:v>SG-451 野炊</x:v>
      </x:c>
      <x:c r="D39" s="15" t="n">
        <x:f>ROUND('定价参数'!$D$49*I39,2)</x:f>
        <x:v>1680</x:v>
      </x:c>
      <x:c r="E39" s="2" t="str">
        <x:v>发</x:v>
      </x:c>
      <x:c r="F39" s="15" t="n">
        <x:f>ROUND('定价参数'!$D$9*J39,2)</x:f>
        <x:v>1.56</x:v>
      </x:c>
      <x:c r="G39" s="2" t="str">
        <x:v>消耗时计费</x:v>
      </x:c>
      <x:c r="H39" s="15" t="n">
        <x:f>0</x:f>
        <x:v>0</x:v>
      </x:c>
      <x:c r="I39" s="11" t="n">
        <x:v>1.2</x:v>
      </x:c>
      <x:c r="J39" s="11" t="n">
        <x:v>3</x:v>
      </x:c>
      <x:c r="K39" s="2" t="str">
        <x:v>B_SHOT</x:v>
      </x:c>
      <x:c r="L39" s="2" t="str">
        <x:v>A_SHOT</x:v>
      </x:c>
      <x:c r="M39" s="2" t="str">
        <x:v>采购价供装备价值对照；随身初始武器本体不逐次收费。一壳计费；多弹丸不重复计费，多管同时发射按耗壳数。</x:v>
      </x:c>
      <x:c r="N39" s="2" t="str">
        <x:v>https://helldivers.wiki.gg/wiki/SG-451_Cookout</x:v>
      </x:c>
      <x:c r="O39" s="2" t="str">
        <x:v>Wiki背景已核对；价格为MOD标准</x:v>
      </x:c>
      <x:c r="P39" s="2" t="str">
        <x:v>SG-451 Cookout</x:v>
      </x:c>
      <x:c r="Q39" s="2" t="str">
        <x:v>中文Wiki用名</x:v>
      </x:c>
      <x:c r="R39" s="25" t="str">
        <x:v>泵动霰弹枪，使用可点燃目标的磷燃烧弹丸。</x:v>
      </x:c>
      <x:c r="S39" s="25" t="str">
        <x:v>保留标准枪械/普通弹成本；射速、容量和联动厂商只影响用量或设备结构，不自动提高每发价。</x:v>
      </x:c>
      <x:c r="T39" s="25" t="str">
        <x:v>Wiki原文已逐页核对 · 2026-10-08</x:v>
      </x:c>
    </x:row>
    <x:row r="40" ht="52" customHeight="1">
      <x:c r="A40" s="8" t="str">
        <x:v>EQ-035</x:v>
      </x:c>
      <x:c r="B40" s="8" t="str">
        <x:v>主武器</x:v>
      </x:c>
      <x:c r="C40" s="8" t="str">
        <x:v>SG-20 止息</x:v>
      </x:c>
      <x:c r="D40" s="14" t="n">
        <x:f>ROUND('定价参数'!$D$49*I40,2)</x:f>
        <x:v>2100</x:v>
      </x:c>
      <x:c r="E40" s="8" t="str">
        <x:v>发</x:v>
      </x:c>
      <x:c r="F40" s="14" t="n">
        <x:f>ROUND('定价参数'!$D$9*J40,2)</x:f>
        <x:v>3.12</x:v>
      </x:c>
      <x:c r="G40" s="8" t="str">
        <x:v>消耗时计费</x:v>
      </x:c>
      <x:c r="H40" s="14" t="n">
        <x:f>0</x:f>
        <x:v>0</x:v>
      </x:c>
      <x:c r="I40" s="11" t="n">
        <x:v>1.5</x:v>
      </x:c>
      <x:c r="J40" s="11" t="n">
        <x:v>6</x:v>
      </x:c>
      <x:c r="K40" s="8" t="str">
        <x:v>B_SHOT</x:v>
      </x:c>
      <x:c r="L40" s="8" t="str">
        <x:v>A_SHOT</x:v>
      </x:c>
      <x:c r="M40" s="8" t="str">
        <x:v>采购价供装备价值对照；随身初始武器本体不逐次收费。一壳计费；多弹丸不重复计费，多管同时发射按耗壳数。主/副弹种另列，不能只按扳机动作计数。</x:v>
      </x:c>
      <x:c r="N40" s="8" t="str">
        <x:v>https://helldivers.wiki.gg/wiki/SG-20_Halt</x:v>
      </x:c>
      <x:c r="O40" s="8" t="str">
        <x:v>Wiki背景已核对；价格为MOD标准</x:v>
      </x:c>
      <x:c r="P40" s="8" t="str">
        <x:v>SG-20 Halt</x:v>
      </x:c>
      <x:c r="Q40" s="8" t="str">
        <x:v>中文Wiki用名</x:v>
      </x:c>
      <x:c r="R40" s="62" t="str">
        <x:v>双弹仓霰弹枪，可切换穿甲箭形弹与眩晕弹。</x:v>
      </x:c>
      <x:c r="S40" s="62" t="str">
        <x:v>穿甲箭形弹与双弹仓结构不同于普通鹿弹；眩晕弹另列。</x:v>
      </x:c>
      <x:c r="T40" s="62" t="str">
        <x:v>Wiki原文已逐页核对 · 2026-10-08</x:v>
      </x:c>
    </x:row>
    <x:row r="41" ht="52" customHeight="1">
      <x:c r="A41" s="2" t="str">
        <x:v>EQ-036</x:v>
      </x:c>
      <x:c r="B41" s="2" t="str">
        <x:v>主武器</x:v>
      </x:c>
      <x:c r="C41" s="2" t="str">
        <x:v>DBS-2 双重自由</x:v>
      </x:c>
      <x:c r="D41" s="15" t="n">
        <x:f>ROUND('定价参数'!$D$49*I41,2)</x:f>
        <x:v>700</x:v>
      </x:c>
      <x:c r="E41" s="2" t="str">
        <x:v>发</x:v>
      </x:c>
      <x:c r="F41" s="15" t="n">
        <x:f>ROUND('定价参数'!$D$9*J41,2)</x:f>
        <x:v>0.52</x:v>
      </x:c>
      <x:c r="G41" s="2" t="str">
        <x:v>消耗时计费</x:v>
      </x:c>
      <x:c r="H41" s="15" t="n">
        <x:f>0</x:f>
        <x:v>0</x:v>
      </x:c>
      <x:c r="I41" s="11" t="n">
        <x:v>0.5</x:v>
      </x:c>
      <x:c r="J41" s="11" t="n">
        <x:v>1</x:v>
      </x:c>
      <x:c r="K41" s="2" t="str">
        <x:v>B_SHOT</x:v>
      </x:c>
      <x:c r="L41" s="2" t="str">
        <x:v>A_SHOT</x:v>
      </x:c>
      <x:c r="M41" s="2" t="str">
        <x:v>采购价供装备价值对照；随身初始武器本体不逐次收费。一壳计费；多弹丸不重复计费，多管同时发射按耗壳数。</x:v>
      </x:c>
      <x:c r="N41" s="2" t="str">
        <x:v>https://helldivers.wiki.gg/wiki/DBS-2_Double_Freedom</x:v>
      </x:c>
      <x:c r="O41" s="2" t="str">
        <x:v>Wiki背景已核对；价格为MOD标准</x:v>
      </x:c>
      <x:c r="P41" s="2" t="str">
        <x:v>DBS-2 Double Freedom</x:v>
      </x:c>
      <x:c r="Q41" s="2" t="str">
        <x:v>中文Wiki用名</x:v>
      </x:c>
      <x:c r="R41" s="25" t="str">
        <x:v>双管、单扳机的复古霰弹枪。</x:v>
      </x:c>
      <x:c r="S41" s="25" t="str">
        <x:v>保留标准枪械/普通弹成本；射速、容量和联动厂商只影响用量或设备结构，不自动提高每发价。</x:v>
      </x:c>
      <x:c r="T41" s="25" t="str">
        <x:v>Wiki原文已逐页核对 · 2026-10-08</x:v>
      </x:c>
    </x:row>
    <x:row r="42" ht="52" customHeight="1">
      <x:c r="A42" s="8" t="str">
        <x:v>EQ-037</x:v>
      </x:c>
      <x:c r="B42" s="8" t="str">
        <x:v>主武器</x:v>
      </x:c>
      <x:c r="C42" s="8" t="str">
        <x:v>M90A 霰弹枪</x:v>
      </x:c>
      <x:c r="D42" s="14" t="n">
        <x:f>ROUND('定价参数'!$D$49*I42,2)</x:f>
        <x:v>1960</x:v>
      </x:c>
      <x:c r="E42" s="8" t="str">
        <x:v>发</x:v>
      </x:c>
      <x:c r="F42" s="14" t="n">
        <x:f>ROUND('定价参数'!$D$9*J42,2)</x:f>
        <x:v>0.52</x:v>
      </x:c>
      <x:c r="G42" s="8" t="str">
        <x:v>消耗时计费</x:v>
      </x:c>
      <x:c r="H42" s="14" t="n">
        <x:f>0</x:f>
        <x:v>0</x:v>
      </x:c>
      <x:c r="I42" s="11" t="n">
        <x:v>1.4</x:v>
      </x:c>
      <x:c r="J42" s="11" t="n">
        <x:v>1</x:v>
      </x:c>
      <x:c r="K42" s="8" t="str">
        <x:v>B_SHOT</x:v>
      </x:c>
      <x:c r="L42" s="8" t="str">
        <x:v>A_SHOT</x:v>
      </x:c>
      <x:c r="M42" s="8" t="str">
        <x:v>采购价供装备价值对照；随身初始武器本体不逐次收费。一壳计费；多弹丸不重复计费，多管同时发射按耗壳数。</x:v>
      </x:c>
      <x:c r="N42" s="8" t="str">
        <x:v>https://helldivers.wiki.gg/wiki/M90A_Shotgun</x:v>
      </x:c>
      <x:c r="O42" s="8" t="str">
        <x:v>Wiki背景已核对；价格为MOD标准</x:v>
      </x:c>
      <x:c r="P42" s="8" t="str">
        <x:v>M90A Shotgun</x:v>
      </x:c>
      <x:c r="Q42" s="8" t="str">
        <x:v>中文Wiki用名</x:v>
      </x:c>
      <x:c r="R42" s="62" t="str">
        <x:v>Martian Armory制造的顶部装填霰弹枪。</x:v>
      </x:c>
      <x:c r="S42" s="62" t="str">
        <x:v>保留标准枪械/普通弹成本；射速、容量和联动厂商只影响用量或设备结构，不自动提高每发价。</x:v>
      </x:c>
      <x:c r="T42" s="62" t="str">
        <x:v>Wiki原文已逐页核对 · 2026-10-08</x:v>
      </x:c>
    </x:row>
    <x:row r="43" ht="52" customHeight="1">
      <x:c r="A43" s="2" t="str">
        <x:v>EQ-038</x:v>
      </x:c>
      <x:c r="B43" s="2" t="str">
        <x:v>主武器</x:v>
      </x:c>
      <x:c r="C43" s="2" t="str">
        <x:v>SG-97 扫荡者</x:v>
      </x:c>
      <x:c r="D43" s="15" t="n">
        <x:f>ROUND('定价参数'!$D$49*I43,2)</x:f>
        <x:v>1680</x:v>
      </x:c>
      <x:c r="E43" s="2" t="str">
        <x:v>发</x:v>
      </x:c>
      <x:c r="F43" s="15" t="n">
        <x:f>ROUND('定价参数'!$D$9*J43,2)</x:f>
        <x:v>3.12</x:v>
      </x:c>
      <x:c r="G43" s="2" t="str">
        <x:v>消耗时计费</x:v>
      </x:c>
      <x:c r="H43" s="15" t="n">
        <x:f>0</x:f>
        <x:v>0</x:v>
      </x:c>
      <x:c r="I43" s="11" t="n">
        <x:v>1.2</x:v>
      </x:c>
      <x:c r="J43" s="11" t="n">
        <x:v>6</x:v>
      </x:c>
      <x:c r="K43" s="2" t="str">
        <x:v>B_SHOT</x:v>
      </x:c>
      <x:c r="L43" s="2" t="str">
        <x:v>A_SHOT</x:v>
      </x:c>
      <x:c r="M43" s="2" t="str">
        <x:v>采购价供装备价值对照；随身初始武器本体不逐次收费。一壳计费；多弹丸不重复计费，多管同时发射按耗壳数。</x:v>
      </x:c>
      <x:c r="N43" s="2" t="str">
        <x:v>https://helldivers.wiki.gg/wiki/SG-97_Sweeper</x:v>
      </x:c>
      <x:c r="O43" s="2" t="str">
        <x:v>Wiki背景已核对；价格为MOD标准</x:v>
      </x:c>
      <x:c r="P43" s="2" t="str">
        <x:v>SG-97 Sweeper</x:v>
      </x:c>
      <x:c r="Q43" s="2" t="str">
        <x:v>中文Wiki用名</x:v>
      </x:c>
      <x:c r="R43" s="25" t="str">
        <x:v>可持续泵动击发的霰弹枪，使用穿甲箭形弹并配长刺刀。</x:v>
      </x:c>
      <x:c r="S43" s="25" t="str">
        <x:v>实际使用穿甲箭形弹，修正原先普通霰弹定价；刺刀动作不收费。</x:v>
      </x:c>
      <x:c r="T43" s="25" t="str">
        <x:v>Wiki原文已逐页核对 · 2026-10-08</x:v>
      </x:c>
    </x:row>
    <x:row r="44" ht="52" customHeight="1">
      <x:c r="A44" s="8" t="str">
        <x:v>EQ-039</x:v>
      </x:c>
      <x:c r="B44" s="8" t="str">
        <x:v>主武器</x:v>
      </x:c>
      <x:c r="C44" s="8" t="str">
        <x:v>R-36 爆裂铳</x:v>
      </x:c>
      <x:c r="D44" s="14" t="n">
        <x:f>ROUND('定价参数'!$D$51*I44,2)</x:f>
        <x:v>3850</x:v>
      </x:c>
      <x:c r="E44" s="8" t="str">
        <x:v>发</x:v>
      </x:c>
      <x:c r="F44" s="14" t="n">
        <x:f>ROUND('定价参数'!$D$21*J44,2)</x:f>
        <x:v>60</x:v>
      </x:c>
      <x:c r="G44" s="8" t="str">
        <x:v>消耗时计费</x:v>
      </x:c>
      <x:c r="H44" s="14" t="n">
        <x:f>0</x:f>
        <x:v>0</x:v>
      </x:c>
      <x:c r="I44" s="11" t="n">
        <x:v>1.1</x:v>
      </x:c>
      <x:c r="J44" s="11" t="n">
        <x:v>5</x:v>
      </x:c>
      <x:c r="K44" s="8" t="str">
        <x:v>B_GL_P</x:v>
      </x:c>
      <x:c r="L44" s="8" t="str">
        <x:v>A_BOLT</x:v>
      </x:c>
      <x:c r="M44" s="8" t="str">
        <x:v>采购价供装备价值对照；随身初始武器本体不逐次收费。</x:v>
      </x:c>
      <x:c r="N44" s="8" t="str">
        <x:v>https://helldivers.wiki.gg/wiki/R-36_Eruptor</x:v>
      </x:c>
      <x:c r="O44" s="8" t="str">
        <x:v>Wiki背景已核对；价格为MOD标准</x:v>
      </x:c>
      <x:c r="P44" s="8" t="str">
        <x:v>R-36 Eruptor</x:v>
      </x:c>
      <x:c r="Q44" s="8" t="str">
        <x:v>中文Wiki用名</x:v>
      </x:c>
      <x:c r="R44" s="62" t="str">
        <x:v>栓动步枪发射助推式爆炸弹，命中后散射破片。</x:v>
      </x:c>
      <x:c r="S44" s="62" t="str">
        <x:v>助推、爆炸装药及破片结构均有成本，不能与简单爆炸弩箭同价。</x:v>
      </x:c>
      <x:c r="T44" s="62" t="str">
        <x:v>Wiki原文已逐页核对 · 2026-10-08</x:v>
      </x:c>
    </x:row>
    <x:row r="45" ht="52" customHeight="1">
      <x:c r="A45" s="2" t="str">
        <x:v>EQ-040</x:v>
      </x:c>
      <x:c r="B45" s="2" t="str">
        <x:v>主武器</x:v>
      </x:c>
      <x:c r="C45" s="2" t="str">
        <x:v>CB-9 爆燃弩</x:v>
      </x:c>
      <x:c r="D45" s="15" t="n">
        <x:f>ROUND('定价参数'!$D$51*I45,2)</x:f>
        <x:v>1750</x:v>
      </x:c>
      <x:c r="E45" s="2" t="str">
        <x:v>发</x:v>
      </x:c>
      <x:c r="F45" s="15" t="n">
        <x:f>ROUND('定价参数'!$D$22*J45,2)</x:f>
        <x:v>30</x:v>
      </x:c>
      <x:c r="G45" s="2" t="str">
        <x:v>消耗时计费</x:v>
      </x:c>
      <x:c r="H45" s="15" t="n">
        <x:f>0</x:f>
        <x:v>0</x:v>
      </x:c>
      <x:c r="I45" s="11" t="n">
        <x:v>0.5</x:v>
      </x:c>
      <x:c r="J45" s="11" t="n">
        <x:v>1</x:v>
      </x:c>
      <x:c r="K45" s="2" t="str">
        <x:v>B_GL_P</x:v>
      </x:c>
      <x:c r="L45" s="2" t="str">
        <x:v>A_XBOW</x:v>
      </x:c>
      <x:c r="M45" s="2" t="str">
        <x:v>采购价供装备价值对照；随身初始武器本体不逐次收费。</x:v>
      </x:c>
      <x:c r="N45" s="2" t="str">
        <x:v>https://helldivers.wiki.gg/wiki/CB-9_Exploding_Crossbow</x:v>
      </x:c>
      <x:c r="O45" s="2" t="str">
        <x:v>Wiki背景已核对；价格为MOD标准</x:v>
      </x:c>
      <x:c r="P45" s="2" t="str">
        <x:v>CB-9 Exploding Crossbow</x:v>
      </x:c>
      <x:c r="Q45" s="2" t="str">
        <x:v>中文Wiki用名</x:v>
      </x:c>
      <x:c r="R45" s="25" t="str">
        <x:v>弩箭带爆炸装药，需考虑重力影响。</x:v>
      </x:c>
      <x:c r="S45" s="25" t="str">
        <x:v>保留标准枪械/普通弹成本；射速、容量和联动厂商只影响用量或设备结构，不自动提高每发价。</x:v>
      </x:c>
      <x:c r="T45" s="25" t="str">
        <x:v>Wiki原文已逐页核对 · 2026-10-08</x:v>
      </x:c>
    </x:row>
    <x:row r="46" ht="52" customHeight="1">
      <x:c r="A46" s="8" t="str">
        <x:v>EQ-041</x:v>
      </x:c>
      <x:c r="B46" s="8" t="str">
        <x:v>主武器</x:v>
      </x:c>
      <x:c r="C46" s="8" t="str">
        <x:v>GL-15 驱逐者</x:v>
      </x:c>
      <x:c r="D46" s="14" t="n">
        <x:f>ROUND('定价参数'!$D$51*I46,2)</x:f>
        <x:v>4200</x:v>
      </x:c>
      <x:c r="E46" s="8" t="str">
        <x:v>发</x:v>
      </x:c>
      <x:c r="F46" s="14" t="n">
        <x:f>ROUND('定价参数'!$D$13*J46,2)</x:f>
        <x:v>80</x:v>
      </x:c>
      <x:c r="G46" s="8" t="str">
        <x:v>消耗时计费</x:v>
      </x:c>
      <x:c r="H46" s="14" t="n">
        <x:f>0</x:f>
        <x:v>0</x:v>
      </x:c>
      <x:c r="I46" s="11" t="n">
        <x:v>1.2</x:v>
      </x:c>
      <x:c r="J46" s="11" t="n">
        <x:v>1</x:v>
      </x:c>
      <x:c r="K46" s="8" t="str">
        <x:v>B_GL_P</x:v>
      </x:c>
      <x:c r="L46" s="8" t="str">
        <x:v>A_GRENADE</x:v>
      </x:c>
      <x:c r="M46" s="8" t="str">
        <x:v>采购价供装备价值对照；随身初始武器本体不逐次收费。</x:v>
      </x:c>
      <x:c r="N46" s="8" t="str">
        <x:v>https://helldivers.wiki.gg/wiki/GL-15_Evictor</x:v>
      </x:c>
      <x:c r="O46" s="8" t="str">
        <x:v>Wiki背景已核对；价格为MOD标准</x:v>
      </x:c>
      <x:c r="P46" s="8" t="str">
        <x:v>GL-15 Evictor</x:v>
      </x:c>
      <x:c r="Q46" s="8" t="str">
        <x:v>参考译名</x:v>
      </x:c>
      <x:c r="R46" s="62" t="str">
        <x:v>泵动榴弹发射器，逐发装填，着重范围爆炸。</x:v>
      </x:c>
      <x:c r="S46" s="62" t="str">
        <x:v>保留标准枪械/普通弹成本；射速、容量和联动厂商只影响用量或设备结构，不自动提高每发价。</x:v>
      </x:c>
      <x:c r="T46" s="62" t="str">
        <x:v>Wiki原文已逐页核对 · 2026-10-08</x:v>
      </x:c>
    </x:row>
    <x:row r="47" ht="52" customHeight="1">
      <x:c r="A47" s="2" t="str">
        <x:v>EQ-042</x:v>
      </x:c>
      <x:c r="B47" s="2" t="str">
        <x:v>主武器</x:v>
      </x:c>
      <x:c r="C47" s="2" t="str">
        <x:v>LAS-5 长柄镰</x:v>
      </x:c>
      <x:c r="D47" s="15" t="n">
        <x:f>ROUND('定价参数'!$D$52*I47,2)</x:f>
        <x:v>8000</x:v>
      </x:c>
      <x:c r="E47" s="2" t="str">
        <x:v>秒</x:v>
      </x:c>
      <x:c r="F47" s="15" t="n">
        <x:f>ROUND('定价参数'!$D$28*J47,2)</x:f>
        <x:v>0.05</x:v>
      </x:c>
      <x:c r="G47" s="2" t="str">
        <x:v>消耗时计费</x:v>
      </x:c>
      <x:c r="H47" s="15" t="n">
        <x:f>'定价参数'!$D$44</x:f>
        <x:v>75</x:v>
      </x:c>
      <x:c r="I47" s="11" t="n">
        <x:v>1</x:v>
      </x:c>
      <x:c r="J47" s="11" t="n">
        <x:v>1</x:v>
      </x:c>
      <x:c r="K47" s="2" t="str">
        <x:v>B_LAS_P</x:v>
      </x:c>
      <x:c r="L47" s="2" t="str">
        <x:v>A_LASER_S</x:v>
      </x:c>
      <x:c r="M47" s="2" t="str">
        <x:v>采购价供装备价值对照；随身初始武器本体不逐次收费。供能按次/秒；更换散热器另计件价，不虚构剩余子弹。</x:v>
      </x:c>
      <x:c r="N47" s="2" t="str">
        <x:v>https://helldivers.wiki.gg/wiki/LAS-5_Scythe</x:v>
      </x:c>
      <x:c r="O47" s="2" t="str">
        <x:v>Wiki背景已核对；价格为MOD标准</x:v>
      </x:c>
      <x:c r="P47" s="2" t="str">
        <x:v>LAS-5 Scythe</x:v>
      </x:c>
      <x:c r="Q47" s="2" t="str">
        <x:v>中文Wiki用名</x:v>
      </x:c>
      <x:c r="R47" s="25" t="str">
        <x:v>持续光束激光步枪，过热后可更换散热器。</x:v>
      </x:c>
      <x:c r="S47" s="25" t="str">
        <x:v>维持设备本体较贵、供能耗材较低的成本结构；功能和耗材类型已逐件核对，发射次数/秒数与更换散热器分别计费。</x:v>
      </x:c>
      <x:c r="T47" s="25" t="str">
        <x:v>Wiki原文已逐页核对 · 2026-10-08</x:v>
      </x:c>
    </x:row>
    <x:row r="48" ht="52" customHeight="1">
      <x:c r="A48" s="8" t="str">
        <x:v>EQ-043</x:v>
      </x:c>
      <x:c r="B48" s="8" t="str">
        <x:v>主武器</x:v>
      </x:c>
      <x:c r="C48" s="8" t="str">
        <x:v>PLAS-1 焦土</x:v>
      </x:c>
      <x:c r="D48" s="14" t="n">
        <x:f>ROUND('定价参数'!$D$53*I48,2)</x:f>
        <x:v>12000</x:v>
      </x:c>
      <x:c r="E48" s="8" t="str">
        <x:v>发</x:v>
      </x:c>
      <x:c r="F48" s="14" t="n">
        <x:f>ROUND('定价参数'!$D$23*J48,2)</x:f>
        <x:v>3</x:v>
      </x:c>
      <x:c r="G48" s="8" t="str">
        <x:v>消耗时计费</x:v>
      </x:c>
      <x:c r="H48" s="14" t="n">
        <x:f>0</x:f>
        <x:v>0</x:v>
      </x:c>
      <x:c r="I48" s="11" t="n">
        <x:v>1</x:v>
      </x:c>
      <x:c r="J48" s="11" t="n">
        <x:v>1</x:v>
      </x:c>
      <x:c r="K48" s="8" t="str">
        <x:v>B_PLAS_P</x:v>
      </x:c>
      <x:c r="L48" s="8" t="str">
        <x:v>A_PLASMA</x:v>
      </x:c>
      <x:c r="M48" s="8" t="str">
        <x:v>采购价供装备价值对照；随身初始武器本体不逐次收费。</x:v>
      </x:c>
      <x:c r="N48" s="8" t="str">
        <x:v>https://helldivers.wiki.gg/wiki/PLAS-1_Scorcher</x:v>
      </x:c>
      <x:c r="O48" s="8" t="str">
        <x:v>Wiki背景已核对；价格为MOD标准</x:v>
      </x:c>
      <x:c r="P48" s="8" t="str">
        <x:v>PLAS-1 Scorcher</x:v>
      </x:c>
      <x:c r="Q48" s="8" t="str">
        <x:v>中文Wiki用名</x:v>
      </x:c>
      <x:c r="R48" s="62" t="str">
        <x:v>发射命中即爆的高温气体等离子弹。</x:v>
      </x:c>
      <x:c r="S48" s="62" t="str">
        <x:v>维持设备本体较贵、供能耗材较低的成本结构；功能和耗材类型已逐件核对，发射次数/秒数与更换散热器分别计费。</x:v>
      </x:c>
      <x:c r="T48" s="62" t="str">
        <x:v>Wiki原文已逐页核对 · 2026-10-08</x:v>
      </x:c>
    </x:row>
    <x:row r="49" ht="52" customHeight="1">
      <x:c r="A49" s="2" t="str">
        <x:v>EQ-044</x:v>
      </x:c>
      <x:c r="B49" s="2" t="str">
        <x:v>主武器</x:v>
      </x:c>
      <x:c r="C49" s="2" t="str">
        <x:v>LAS-16 镰刀</x:v>
      </x:c>
      <x:c r="D49" s="15" t="n">
        <x:f>ROUND('定价参数'!$D$52*I49,2)</x:f>
        <x:v>8800</x:v>
      </x:c>
      <x:c r="E49" s="2" t="str">
        <x:v>次</x:v>
      </x:c>
      <x:c r="F49" s="15" t="n">
        <x:f>ROUND('定价参数'!$D$27*J49,2)</x:f>
        <x:v>0.01</x:v>
      </x:c>
      <x:c r="G49" s="2" t="str">
        <x:v>消耗时计费</x:v>
      </x:c>
      <x:c r="H49" s="15" t="n">
        <x:f>'定价参数'!$D$44</x:f>
        <x:v>75</x:v>
      </x:c>
      <x:c r="I49" s="11" t="n">
        <x:v>1.1</x:v>
      </x:c>
      <x:c r="J49" s="11" t="n">
        <x:v>1</x:v>
      </x:c>
      <x:c r="K49" s="2" t="str">
        <x:v>B_LAS_P</x:v>
      </x:c>
      <x:c r="L49" s="2" t="str">
        <x:v>A_LASER_P</x:v>
      </x:c>
      <x:c r="M49" s="2" t="str">
        <x:v>采购价供装备价值对照；随身初始武器本体不逐次收费。供能按次/秒；更换散热器另计件价，不虚构剩余子弹。</x:v>
      </x:c>
      <x:c r="N49" s="2" t="str">
        <x:v>https://helldivers.wiki.gg/wiki/LAS-16_Sickle</x:v>
      </x:c>
      <x:c r="O49" s="2" t="str">
        <x:v>Wiki背景已核对；价格为MOD标准</x:v>
      </x:c>
      <x:c r="P49" s="2" t="str">
        <x:v>LAS-16 Sickle</x:v>
      </x:c>
      <x:c r="Q49" s="2" t="str">
        <x:v>中文Wiki用名</x:v>
      </x:c>
      <x:c r="R49" s="25" t="str">
        <x:v>脉冲激光步枪，过热时需装入新散热器。</x:v>
      </x:c>
      <x:c r="S49" s="25" t="str">
        <x:v>维持设备本体较贵、供能耗材较低的成本结构；功能和耗材类型已逐件核对，发射次数/秒数与更换散热器分别计费。</x:v>
      </x:c>
      <x:c r="T49" s="25" t="str">
        <x:v>Wiki原文已逐页核对 · 2026-10-08</x:v>
      </x:c>
    </x:row>
    <x:row r="50" ht="52" customHeight="1">
      <x:c r="A50" s="8" t="str">
        <x:v>EQ-045</x:v>
      </x:c>
      <x:c r="B50" s="8" t="str">
        <x:v>主武器</x:v>
      </x:c>
      <x:c r="C50" s="8" t="str">
        <x:v>SG-8P 等离子制裁者</x:v>
      </x:c>
      <x:c r="D50" s="14" t="n">
        <x:f>ROUND('定价参数'!$D$53*I50,2)</x:f>
        <x:v>12000</x:v>
      </x:c>
      <x:c r="E50" s="8" t="str">
        <x:v>发</x:v>
      </x:c>
      <x:c r="F50" s="14" t="n">
        <x:f>ROUND('定价参数'!$D$24*J50,2)</x:f>
        <x:v>12</x:v>
      </x:c>
      <x:c r="G50" s="8" t="str">
        <x:v>消耗时计费</x:v>
      </x:c>
      <x:c r="H50" s="14" t="n">
        <x:f>0</x:f>
        <x:v>0</x:v>
      </x:c>
      <x:c r="I50" s="11" t="n">
        <x:v>1</x:v>
      </x:c>
      <x:c r="J50" s="11" t="n">
        <x:v>1</x:v>
      </x:c>
      <x:c r="K50" s="8" t="str">
        <x:v>B_PLAS_P</x:v>
      </x:c>
      <x:c r="L50" s="8" t="str">
        <x:v>A_PLASMA_H</x:v>
      </x:c>
      <x:c r="M50" s="8" t="str">
        <x:v>采购价供装备价值对照；随身初始武器本体不逐次收费。</x:v>
      </x:c>
      <x:c r="N50" s="8" t="str">
        <x:v>https://helldivers.wiki.gg/wiki/SG-8P_Punisher_Plasma</x:v>
      </x:c>
      <x:c r="O50" s="8" t="str">
        <x:v>Wiki背景已核对；价格为MOD标准</x:v>
      </x:c>
      <x:c r="P50" s="8" t="str">
        <x:v>SG-8P Punisher Plasma</x:v>
      </x:c>
      <x:c r="Q50" s="8" t="str">
        <x:v>中文Wiki用名</x:v>
      </x:c>
      <x:c r="R50" s="62" t="str">
        <x:v>惩罚者的爆炸等离子弹改型。</x:v>
      </x:c>
      <x:c r="S50" s="62" t="str">
        <x:v>维持设备本体较贵、供能耗材较低的成本结构；功能和耗材类型已逐件核对，发射次数/秒数与更换散热器分别计费。</x:v>
      </x:c>
      <x:c r="T50" s="62" t="str">
        <x:v>Wiki原文已逐页核对 · 2026-10-08</x:v>
      </x:c>
    </x:row>
    <x:row r="51" ht="52" customHeight="1">
      <x:c r="A51" s="2" t="str">
        <x:v>EQ-046</x:v>
      </x:c>
      <x:c r="B51" s="2" t="str">
        <x:v>主武器</x:v>
      </x:c>
      <x:c r="C51" s="2" t="str">
        <x:v>ARC-12 雷霆</x:v>
      </x:c>
      <x:c r="D51" s="15" t="n">
        <x:f>ROUND('定价参数'!$D$54*I51,2)</x:f>
        <x:v>10000</x:v>
      </x:c>
      <x:c r="E51" s="2" t="str">
        <x:v>次</x:v>
      </x:c>
      <x:c r="F51" s="15" t="n">
        <x:f>ROUND('定价参数'!$D$30*J51,2)</x:f>
        <x:v>0.05</x:v>
      </x:c>
      <x:c r="G51" s="2" t="str">
        <x:v>消耗时计费</x:v>
      </x:c>
      <x:c r="H51" s="15" t="n">
        <x:f>0</x:f>
        <x:v>0</x:v>
      </x:c>
      <x:c r="I51" s="11" t="n">
        <x:v>1</x:v>
      </x:c>
      <x:c r="J51" s="11" t="n">
        <x:v>1</x:v>
      </x:c>
      <x:c r="K51" s="2" t="str">
        <x:v>B_ARC_P</x:v>
      </x:c>
      <x:c r="L51" s="2" t="str">
        <x:v>A_ARC</x:v>
      </x:c>
      <x:c r="M51" s="2" t="str">
        <x:v>采购价供装备价值对照；随身初始武器本体不逐次收费。</x:v>
      </x:c>
      <x:c r="N51" s="2" t="str">
        <x:v>https://helldivers.wiki.gg/wiki/ARC-12_Blitzer</x:v>
      </x:c>
      <x:c r="O51" s="2" t="str">
        <x:v>Wiki背景已核对；价格为MOD标准</x:v>
      </x:c>
      <x:c r="P51" s="2" t="str">
        <x:v>ARC-12 Blitzer</x:v>
      </x:c>
      <x:c r="Q51" s="2" t="str">
        <x:v>中文Wiki用名</x:v>
      </x:c>
      <x:c r="R51" s="25" t="str">
        <x:v>高压电弧霰弹枪，可在附近多个单位之间放电。</x:v>
      </x:c>
      <x:c r="S51" s="25" t="str">
        <x:v>维持设备本体较贵、供能耗材较低的成本结构；功能和耗材类型已逐件核对，发射次数/秒数与更换散热器分别计费。</x:v>
      </x:c>
      <x:c r="T51" s="25" t="str">
        <x:v>Wiki原文已逐页核对 · 2026-10-08</x:v>
      </x:c>
    </x:row>
    <x:row r="52" ht="52" customHeight="1">
      <x:c r="A52" s="8" t="str">
        <x:v>EQ-047</x:v>
      </x:c>
      <x:c r="B52" s="8" t="str">
        <x:v>主武器</x:v>
      </x:c>
      <x:c r="C52" s="8" t="str">
        <x:v>PLAS-101 净化者</x:v>
      </x:c>
      <x:c r="D52" s="14" t="n">
        <x:f>ROUND('定价参数'!$D$53*I52,2)</x:f>
        <x:v>14400</x:v>
      </x:c>
      <x:c r="E52" s="8" t="str">
        <x:v>发</x:v>
      </x:c>
      <x:c r="F52" s="14" t="n">
        <x:f>ROUND('定价参数'!$D$23*J52,2)</x:f>
        <x:v>6</x:v>
      </x:c>
      <x:c r="G52" s="8" t="str">
        <x:v>消耗时计费</x:v>
      </x:c>
      <x:c r="H52" s="14" t="n">
        <x:f>0</x:f>
        <x:v>0</x:v>
      </x:c>
      <x:c r="I52" s="11" t="n">
        <x:v>1.2</x:v>
      </x:c>
      <x:c r="J52" s="11" t="n">
        <x:v>2</x:v>
      </x:c>
      <x:c r="K52" s="8" t="str">
        <x:v>B_PLAS_P</x:v>
      </x:c>
      <x:c r="L52" s="8" t="str">
        <x:v>A_PLASMA</x:v>
      </x:c>
      <x:c r="M52" s="8" t="str">
        <x:v>采购价供装备价值对照；随身初始武器本体不逐次收费。蓄力不自动多算一发；以实际弹药扣除量为准。</x:v>
      </x:c>
      <x:c r="N52" s="8" t="str">
        <x:v>https://helldivers.wiki.gg/wiki/PLAS-101_Purifier</x:v>
      </x:c>
      <x:c r="O52" s="8" t="str">
        <x:v>Wiki背景已核对；价格为MOD标准</x:v>
      </x:c>
      <x:c r="P52" s="8" t="str">
        <x:v>PLAS-101 Purifier</x:v>
      </x:c>
      <x:c r="Q52" s="8" t="str">
        <x:v>中文Wiki用名</x:v>
      </x:c>
      <x:c r="R52" s="62" t="str">
        <x:v>可蓄力发射高温气体，完全蓄力后弹体命中爆炸。</x:v>
      </x:c>
      <x:c r="S52" s="62" t="str">
        <x:v>维持设备本体较贵、供能耗材较低的成本结构；功能和耗材类型已逐件核对，发射次数/秒数与更换散热器分别计费。</x:v>
      </x:c>
      <x:c r="T52" s="62" t="str">
        <x:v>Wiki原文已逐页核对 · 2026-10-08</x:v>
      </x:c>
    </x:row>
    <x:row r="53" ht="52" customHeight="1">
      <x:c r="A53" s="2" t="str">
        <x:v>EQ-048</x:v>
      </x:c>
      <x:c r="B53" s="2" t="str">
        <x:v>主武器</x:v>
      </x:c>
      <x:c r="C53" s="2" t="str">
        <x:v>PLAS-39 加速步枪</x:v>
      </x:c>
      <x:c r="D53" s="15" t="n">
        <x:f>ROUND('定价参数'!$D$53*I53,2)</x:f>
        <x:v>15600</x:v>
      </x:c>
      <x:c r="E53" s="2" t="str">
        <x:v>发</x:v>
      </x:c>
      <x:c r="F53" s="15" t="n">
        <x:f>ROUND('定价参数'!$D$23*J53,2)</x:f>
        <x:v>7.5</x:v>
      </x:c>
      <x:c r="G53" s="2" t="str">
        <x:v>消耗时计费</x:v>
      </x:c>
      <x:c r="H53" s="15" t="n">
        <x:f>0</x:f>
        <x:v>0</x:v>
      </x:c>
      <x:c r="I53" s="11" t="n">
        <x:v>1.3</x:v>
      </x:c>
      <x:c r="J53" s="11" t="n">
        <x:v>2.5</x:v>
      </x:c>
      <x:c r="K53" s="2" t="str">
        <x:v>B_PLAS_P</x:v>
      </x:c>
      <x:c r="L53" s="2" t="str">
        <x:v>A_PLASMA</x:v>
      </x:c>
      <x:c r="M53" s="2" t="str">
        <x:v>采购价供装备价值对照；随身初始武器本体不逐次收费。</x:v>
      </x:c>
      <x:c r="N53" s="2" t="str">
        <x:v>https://helldivers.wiki.gg/wiki/PLAS-39_Accelerator_Rifle</x:v>
      </x:c>
      <x:c r="O53" s="2" t="str">
        <x:v>Wiki背景已核对；价格为MOD标准</x:v>
      </x:c>
      <x:c r="P53" s="2" t="str">
        <x:v>PLAS-39 Accelerator Rifle</x:v>
      </x:c>
      <x:c r="Q53" s="2" t="str">
        <x:v>中文Wiki用名</x:v>
      </x:c>
      <x:c r="R53" s="25" t="str">
        <x:v>高精度蓄力点射等离子步枪。</x:v>
      </x:c>
      <x:c r="S53" s="25" t="str">
        <x:v>维持设备本体较贵、供能耗材较低的成本结构；功能和耗材类型已逐件核对，发射次数/秒数与更换散热器分别计费。</x:v>
      </x:c>
      <x:c r="T53" s="25" t="str">
        <x:v>Wiki原文已逐页核对 · 2026-10-08</x:v>
      </x:c>
    </x:row>
    <x:row r="54" ht="52" customHeight="1">
      <x:c r="A54" s="8" t="str">
        <x:v>EQ-049</x:v>
      </x:c>
      <x:c r="B54" s="8" t="str">
        <x:v>主武器</x:v>
      </x:c>
      <x:c r="C54" s="8" t="str">
        <x:v>LAS-17 双刃镰刀</x:v>
      </x:c>
      <x:c r="D54" s="14" t="n">
        <x:f>ROUND('定价参数'!$D$52*I54,2)</x:f>
        <x:v>9600</x:v>
      </x:c>
      <x:c r="E54" s="8" t="str">
        <x:v>次</x:v>
      </x:c>
      <x:c r="F54" s="14" t="n">
        <x:f>ROUND('定价参数'!$D$27*J54,2)</x:f>
        <x:v>0.01</x:v>
      </x:c>
      <x:c r="G54" s="8" t="str">
        <x:v>消耗时计费</x:v>
      </x:c>
      <x:c r="H54" s="14" t="n">
        <x:f>'定价参数'!$D$44</x:f>
        <x:v>75</x:v>
      </x:c>
      <x:c r="I54" s="11" t="n">
        <x:v>1.2</x:v>
      </x:c>
      <x:c r="J54" s="11" t="n">
        <x:v>1.2</x:v>
      </x:c>
      <x:c r="K54" s="8" t="str">
        <x:v>B_LAS_P</x:v>
      </x:c>
      <x:c r="L54" s="8" t="str">
        <x:v>A_LASER_P</x:v>
      </x:c>
      <x:c r="M54" s="8" t="str">
        <x:v>采购价供装备价值对照；随身初始武器本体不逐次收费。供能按次/秒；更换散热器另计件价，不虚构剩余子弹。</x:v>
      </x:c>
      <x:c r="N54" s="8" t="str">
        <x:v>https://helldivers.wiki.gg/wiki/LAS-17_Double-Edge_Sickle</x:v>
      </x:c>
      <x:c r="O54" s="8" t="str">
        <x:v>Wiki背景已核对；价格为MOD标准</x:v>
      </x:c>
      <x:c r="P54" s="8" t="str">
        <x:v>LAS-17 Double-Edge Sickle</x:v>
      </x:c>
      <x:c r="Q54" s="8" t="str">
        <x:v>中文Wiki用名</x:v>
      </x:c>
      <x:c r="R54" s="62" t="str">
        <x:v>镰刀移除过热保护的改型，可持续射击并烧伤使用者。</x:v>
      </x:c>
      <x:c r="S54" s="62" t="str">
        <x:v>保留标准枪械/普通弹成本；射速、容量和联动厂商只影响用量或设备结构，不自动提高每发价。</x:v>
      </x:c>
      <x:c r="T54" s="62" t="str">
        <x:v>Wiki原文已逐页核对 · 2026-10-08</x:v>
      </x:c>
    </x:row>
    <x:row r="55" ht="52" customHeight="1">
      <x:c r="A55" s="2" t="str">
        <x:v>EQ-050</x:v>
      </x:c>
      <x:c r="B55" s="2" t="str">
        <x:v>主武器</x:v>
      </x:c>
      <x:c r="C55" s="2" t="str">
        <x:v>LAS-13 三叉戟</x:v>
      </x:c>
      <x:c r="D55" s="15" t="n">
        <x:f>ROUND('定价参数'!$D$52*I55,2)</x:f>
        <x:v>9600</x:v>
      </x:c>
      <x:c r="E55" s="2" t="str">
        <x:v>次</x:v>
      </x:c>
      <x:c r="F55" s="15" t="n">
        <x:f>ROUND('定价参数'!$D$27*J55,2)</x:f>
        <x:v>0.06</x:v>
      </x:c>
      <x:c r="G55" s="2" t="str">
        <x:v>消耗时计费</x:v>
      </x:c>
      <x:c r="H55" s="15" t="n">
        <x:f>'定价参数'!$D$44</x:f>
        <x:v>75</x:v>
      </x:c>
      <x:c r="I55" s="11" t="n">
        <x:v>1.2</x:v>
      </x:c>
      <x:c r="J55" s="11" t="n">
        <x:v>6</x:v>
      </x:c>
      <x:c r="K55" s="2" t="str">
        <x:v>B_LAS_P</x:v>
      </x:c>
      <x:c r="L55" s="2" t="str">
        <x:v>A_LASER_P</x:v>
      </x:c>
      <x:c r="M55" s="2" t="str">
        <x:v>每次脉冲齐发六束光，所列单次供能价已包含六束，不再逐束重复收费；散热器更换另记。</x:v>
      </x:c>
      <x:c r="N55" s="2" t="str">
        <x:v>https://helldivers.wiki.gg/wiki/LAS-13_Trident</x:v>
      </x:c>
      <x:c r="O55" s="2" t="str">
        <x:v>Wiki背景已核对；价格为MOD标准</x:v>
      </x:c>
      <x:c r="P55" s="2" t="str">
        <x:v>LAS-13 Trident</x:v>
      </x:c>
      <x:c r="Q55" s="2" t="str">
        <x:v>中文Wiki用名</x:v>
      </x:c>
      <x:c r="R55" s="25" t="str">
        <x:v>第一银河战争武器的改进型，现可发射六束激光。</x:v>
      </x:c>
      <x:c r="S55" s="25" t="str">
        <x:v>六束脉冲按一次齐发供能合计，取消连续光束按秒分类；散热器仍单列。</x:v>
      </x:c>
      <x:c r="T55" s="25" t="str">
        <x:v>Wiki原文已逐页核对 · 2026-10-08</x:v>
      </x:c>
    </x:row>
    <x:row r="56" ht="52" customHeight="1">
      <x:c r="A56" s="8" t="str">
        <x:v>EQ-051</x:v>
      </x:c>
      <x:c r="B56" s="8" t="str">
        <x:v>主武器</x:v>
      </x:c>
      <x:c r="C56" s="8" t="str">
        <x:v>R/40-K 高能精确射手步枪</x:v>
      </x:c>
      <x:c r="D56" s="14" t="n">
        <x:f>ROUND('定价参数'!$D$52*I56,2)</x:f>
        <x:v>24000</x:v>
      </x:c>
      <x:c r="E56" s="8" t="str">
        <x:v>发</x:v>
      </x:c>
      <x:c r="F56" s="14" t="n">
        <x:f>ROUND('定价参数'!$D$118*J56,2)</x:f>
        <x:v>5</x:v>
      </x:c>
      <x:c r="G56" s="8" t="str">
        <x:v>消耗时计费</x:v>
      </x:c>
      <x:c r="H56" s="14" t="n">
        <x:f>0</x:f>
        <x:v>0</x:v>
      </x:c>
      <x:c r="I56" s="11" t="n">
        <x:v>3</x:v>
      </x:c>
      <x:c r="J56" s="11" t="n">
        <x:v>1</x:v>
      </x:c>
      <x:c r="K56" s="8" t="str">
        <x:v>B_LAS_P</x:v>
      </x:c>
      <x:c r="L56" s="8" t="str">
        <x:v>A_HOTSHOT</x:v>
      </x:c>
      <x:c r="M56" s="8" t="str">
        <x:v>采购价供装备价值对照；随身初始武器本体不逐次收费。</x:v>
      </x:c>
      <x:c r="N56" s="8" t="str">
        <x:v>https://helldivers.wiki.gg/wiki/R/40-K_Hot-Shot_Marksman_Rifle</x:v>
      </x:c>
      <x:c r="O56" s="8" t="str">
        <x:v>Wiki背景已核对；价格为MOD标准</x:v>
      </x:c>
      <x:c r="P56" s="8" t="str">
        <x:v>R/40-K Hot-Shot Marksman Rifle</x:v>
      </x:c>
      <x:c r="Q56" s="8" t="str">
        <x:v>中文Wiki用名</x:v>
      </x:c>
      <x:c r="R56" s="62" t="str">
        <x:v>ST Construction制造，合金含Chara金属；使用不可自行回充的有限容量能源匣。</x:v>
      </x:c>
      <x:c r="S56" s="62" t="str">
        <x:v>含特殊合金及精确能源发射系统，提高本体价；有限能源匣按每次放射分摊，不按普通等离子弹类别。</x:v>
      </x:c>
      <x:c r="T56" s="62" t="str">
        <x:v>Wiki原文已逐页核对 · 2026-10-08</x:v>
      </x:c>
    </x:row>
    <x:row r="57" ht="52" customHeight="1">
      <x:c r="A57" s="2" t="str">
        <x:v>EQ-052</x:v>
      </x:c>
      <x:c r="B57" s="2" t="str">
        <x:v>主武器</x:v>
      </x:c>
      <x:c r="C57" s="2" t="str">
        <x:v>LAS-12 铁尺</x:v>
      </x:c>
      <x:c r="D57" s="15" t="n">
        <x:f>ROUND('定价参数'!$D$52*I57,2)</x:f>
        <x:v>9600</x:v>
      </x:c>
      <x:c r="E57" s="2" t="str">
        <x:v>次</x:v>
      </x:c>
      <x:c r="F57" s="15" t="n">
        <x:f>ROUND('定价参数'!$D$27*J57,2)</x:f>
        <x:v>0.01</x:v>
      </x:c>
      <x:c r="G57" s="2" t="str">
        <x:v>消耗时计费</x:v>
      </x:c>
      <x:c r="H57" s="15" t="n">
        <x:f>'定价参数'!$D$44</x:f>
        <x:v>75</x:v>
      </x:c>
      <x:c r="I57" s="11" t="n">
        <x:v>1.2</x:v>
      </x:c>
      <x:c r="J57" s="11" t="n">
        <x:v>1</x:v>
      </x:c>
      <x:c r="K57" s="2" t="str">
        <x:v>B_LAS_P</x:v>
      </x:c>
      <x:c r="L57" s="2" t="str">
        <x:v>A_LASER_P</x:v>
      </x:c>
      <x:c r="M57" s="2" t="str">
        <x:v>采购价供装备价值对照；随身初始武器本体不逐次收费。供能按次/秒；更换散热器另计件价，不虚构剩余子弹。</x:v>
      </x:c>
      <x:c r="N57" s="2" t="str">
        <x:v>https://helldivers.wiki.gg/wiki/LAS-12_Sai</x:v>
      </x:c>
      <x:c r="O57" s="2" t="str">
        <x:v>Wiki背景已核对；价格为MOD标准</x:v>
      </x:c>
      <x:c r="P57" s="2" t="str">
        <x:v>LAS-12 Sai</x:v>
      </x:c>
      <x:c r="Q57" s="2" t="str">
        <x:v>参考译名</x:v>
      </x:c>
      <x:c r="R57" s="25" t="str">
        <x:v>高射速激光冲锋枪，强调近距离覆盖而非精度。</x:v>
      </x:c>
      <x:c r="S57" s="25" t="str">
        <x:v>维持设备本体较贵、供能耗材较低的成本结构；功能和耗材类型已逐件核对，发射次数/秒数与更换散热器分别计费。</x:v>
      </x:c>
      <x:c r="T57" s="25" t="str">
        <x:v>Wiki原文已逐页核对 · 2026-10-08</x:v>
      </x:c>
    </x:row>
    <x:row r="58" ht="52" customHeight="1">
      <x:c r="A58" s="8" t="str">
        <x:v>EQ-053</x:v>
      </x:c>
      <x:c r="B58" s="8" t="str">
        <x:v>主武器</x:v>
      </x:c>
      <x:c r="C58" s="8" t="str">
        <x:v>JAR-5 主宰</x:v>
      </x:c>
      <x:c r="D58" s="14" t="n">
        <x:f>ROUND('定价参数'!$D$51*I58,2)</x:f>
        <x:v>3500</x:v>
      </x:c>
      <x:c r="E58" s="8" t="str">
        <x:v>发</x:v>
      </x:c>
      <x:c r="F58" s="14" t="n">
        <x:f>ROUND('定价参数'!$D$21*J58,2)</x:f>
        <x:v>12</x:v>
      </x:c>
      <x:c r="G58" s="8" t="str">
        <x:v>消耗时计费</x:v>
      </x:c>
      <x:c r="H58" s="14" t="n">
        <x:f>0</x:f>
        <x:v>0</x:v>
      </x:c>
      <x:c r="I58" s="11" t="n">
        <x:v>1</x:v>
      </x:c>
      <x:c r="J58" s="11" t="n">
        <x:v>1</x:v>
      </x:c>
      <x:c r="K58" s="8" t="str">
        <x:v>B_GL_P</x:v>
      </x:c>
      <x:c r="L58" s="8" t="str">
        <x:v>A_BOLT</x:v>
      </x:c>
      <x:c r="M58" s="8" t="str">
        <x:v>采购价供装备价值对照；随身初始武器本体不逐次收费。</x:v>
      </x:c>
      <x:c r="N58" s="8" t="str">
        <x:v>https://helldivers.wiki.gg/wiki/JAR-5_Dominator</x:v>
      </x:c>
      <x:c r="O58" s="8" t="str">
        <x:v>Wiki背景已核对；价格为MOD标准</x:v>
      </x:c>
      <x:c r="P58" s="8" t="str">
        <x:v>JAR-5 Dominator</x:v>
      </x:c>
      <x:c r="Q58" s="8" t="str">
        <x:v>中文Wiki用名</x:v>
      </x:c>
      <x:c r="R58" s="62" t="str">
        <x:v>发射推进式弹药，牺牲射速和容量以加强单发威力。</x:v>
      </x:c>
      <x:c r="S58" s="62" t="str">
        <x:v>保留标准枪械/普通弹成本；射速、容量和联动厂商只影响用量或设备结构，不自动提高每发价。</x:v>
      </x:c>
      <x:c r="T58" s="62" t="str">
        <x:v>Wiki原文已逐页核对 · 2026-10-08</x:v>
      </x:c>
    </x:row>
    <x:row r="59" ht="52" customHeight="1">
      <x:c r="A59" s="2" t="str">
        <x:v>EQ-054</x:v>
      </x:c>
      <x:c r="B59" s="2" t="str">
        <x:v>主武器</x:v>
      </x:c>
      <x:c r="C59" s="2" t="str">
        <x:v>FLAM-66 火炬手</x:v>
      </x:c>
      <x:c r="D59" s="15" t="n">
        <x:f>ROUND('定价参数'!$D$55*I59,2)</x:f>
        <x:v>1600</x:v>
      </x:c>
      <x:c r="E59" s="2" t="str">
        <x:v>显示单位</x:v>
      </x:c>
      <x:c r="F59" s="15" t="n">
        <x:f>ROUND('定价参数'!$D$25*J59,2)</x:f>
        <x:v>0.3</x:v>
      </x:c>
      <x:c r="G59" s="2" t="str">
        <x:v>消耗时计费</x:v>
      </x:c>
      <x:c r="H59" s="15" t="n">
        <x:f>0</x:f>
        <x:v>0</x:v>
      </x:c>
      <x:c r="I59" s="11" t="n">
        <x:v>1</x:v>
      </x:c>
      <x:c r="J59" s="11" t="n">
        <x:v>1</x:v>
      </x:c>
      <x:c r="K59" s="2" t="str">
        <x:v>B_FLAM_P</x:v>
      </x:c>
      <x:c r="L59" s="2" t="str">
        <x:v>A_FUEL</x:v>
      </x:c>
      <x:c r="M59" s="2" t="str">
        <x:v>采购价供装备价值对照；随身初始武器本体不逐次收费。单位是游戏弹量显示单位，尚无可靠升数换算。</x:v>
      </x:c>
      <x:c r="N59" s="2" t="str">
        <x:v>https://helldivers.wiki.gg/wiki/FLAM-66_Torcher</x:v>
      </x:c>
      <x:c r="O59" s="2" t="str">
        <x:v>Wiki背景已核对；价格为MOD标准</x:v>
      </x:c>
      <x:c r="P59" s="2" t="str">
        <x:v>FLAM-66 Torcher</x:v>
      </x:c>
      <x:c r="Q59" s="2" t="str">
        <x:v>中文Wiki用名</x:v>
      </x:c>
      <x:c r="R59" s="25" t="str">
        <x:v>轻型火焰喷射器，通过喷嘴输送加压燃料。</x:v>
      </x:c>
      <x:c r="S59" s="25" t="str">
        <x:v>按专用燃料、药剂或装药计价，设备与耗材分开；现有基价与对应构造相符。</x:v>
      </x:c>
      <x:c r="T59" s="25" t="str">
        <x:v>Wiki原文已逐页核对 · 2026-10-08</x:v>
      </x:c>
    </x:row>
    <x:row r="60" ht="52" customHeight="1">
      <x:c r="A60" s="8" t="str">
        <x:v>EQ-055</x:v>
      </x:c>
      <x:c r="B60" s="8" t="str">
        <x:v>主武器</x:v>
      </x:c>
      <x:c r="C60" s="8" t="str">
        <x:v>VG-70 变数</x:v>
      </x:c>
      <x:c r="D60" s="14" t="n">
        <x:f>ROUND('定价参数'!$D$46*I60,2)</x:f>
        <x:v>2800</x:v>
      </x:c>
      <x:c r="E60" s="8" t="str">
        <x:v>发</x:v>
      </x:c>
      <x:c r="F60" s="14" t="n">
        <x:f>ROUND('定价参数'!$D$7*J60,2)</x:f>
        <x:v>0.16</x:v>
      </x:c>
      <x:c r="G60" s="8" t="str">
        <x:v>消耗时计费</x:v>
      </x:c>
      <x:c r="H60" s="14" t="n">
        <x:f>0</x:f>
        <x:v>0</x:v>
      </x:c>
      <x:c r="I60" s="11" t="n">
        <x:v>1.4</x:v>
      </x:c>
      <x:c r="J60" s="11" t="n">
        <x:v>1</x:v>
      </x:c>
      <x:c r="K60" s="8" t="str">
        <x:v>B_AR</x:v>
      </x:c>
      <x:c r="L60" s="8" t="str">
        <x:v>A_PISTOL_L</x:v>
      </x:c>
      <x:c r="M60" s="8" t="str">
        <x:v>每枚实际消耗弹药分别计费；齐射三管/七管时使用总弹数，不能只记一次扳机，也不再按命中数收费。</x:v>
      </x:c>
      <x:c r="N60" s="8" t="str">
        <x:v>https://helldivers.wiki.gg/wiki/VG-70_Variable</x:v>
      </x:c>
      <x:c r="O60" s="8" t="str">
        <x:v>Wiki背景已核对；价格为MOD标准</x:v>
      </x:c>
      <x:c r="P60" s="8" t="str">
        <x:v>VG-70 Variable</x:v>
      </x:c>
      <x:c r="Q60" s="8" t="str">
        <x:v>中文Wiki用名</x:v>
      </x:c>
      <x:c r="R60" s="62" t="str">
        <x:v>七管齐射枪，提供三种射击模式与三档射速。</x:v>
      </x:c>
      <x:c r="S60" s="62" t="str">
        <x:v>保留标准枪械/普通弹成本；射速、容量和联动厂商只影响用量或设备结构，不自动提高每发价。</x:v>
      </x:c>
      <x:c r="T60" s="62" t="str">
        <x:v>Wiki原文已逐页核对 · 2026-10-08</x:v>
      </x:c>
    </x:row>
    <x:row r="61" ht="52" customHeight="1">
      <x:c r="A61" s="2" t="str">
        <x:v>EQ-056</x:v>
      </x:c>
      <x:c r="B61" s="2" t="str">
        <x:v>副武器</x:v>
      </x:c>
      <x:c r="C61" s="2" t="str">
        <x:v>P-2 和平制造者</x:v>
      </x:c>
      <x:c r="D61" s="15" t="n">
        <x:f>ROUND('定价参数'!$D$50*I61,2)</x:f>
        <x:v>500</x:v>
      </x:c>
      <x:c r="E61" s="2" t="str">
        <x:v>发</x:v>
      </x:c>
      <x:c r="F61" s="15" t="n">
        <x:f>ROUND('定价参数'!$D$7*J61,2)</x:f>
        <x:v>0.16</x:v>
      </x:c>
      <x:c r="G61" s="2" t="str">
        <x:v>消耗时计费</x:v>
      </x:c>
      <x:c r="H61" s="15" t="n">
        <x:f>0</x:f>
        <x:v>0</x:v>
      </x:c>
      <x:c r="I61" s="11" t="n">
        <x:v>1</x:v>
      </x:c>
      <x:c r="J61" s="11" t="n">
        <x:v>1</x:v>
      </x:c>
      <x:c r="K61" s="2" t="str">
        <x:v>B_PISTOL</x:v>
      </x:c>
      <x:c r="L61" s="2" t="str">
        <x:v>A_PISTOL_L</x:v>
      </x:c>
      <x:c r="M61" s="2" t="str">
        <x:v>采购价供装备价值对照；随身初始武器本体不逐次收费。</x:v>
      </x:c>
      <x:c r="N61" s="2" t="str">
        <x:v>https://helldivers.wiki.gg/wiki/P-2_Peacemaker</x:v>
      </x:c>
      <x:c r="O61" s="2" t="str">
        <x:v>Wiki背景已核对；价格为MOD标准</x:v>
      </x:c>
      <x:c r="P61" s="2" t="str">
        <x:v>P-2 Peacemaker</x:v>
      </x:c>
      <x:c r="Q61" s="2" t="str">
        <x:v>中文Wiki用名</x:v>
      </x:c>
      <x:c r="R61" s="25" t="str">
        <x:v>SEAF制式手枪，兼顾射速、容量与换弹速度。</x:v>
      </x:c>
      <x:c r="S61" s="25" t="str">
        <x:v>保留标准枪械/普通弹成本；射速、容量和联动厂商只影响用量或设备结构，不自动提高每发价。</x:v>
      </x:c>
      <x:c r="T61" s="25" t="str">
        <x:v>Wiki原文已逐页核对 · 2026-10-08</x:v>
      </x:c>
    </x:row>
    <x:row r="62" ht="52" customHeight="1">
      <x:c r="A62" s="8" t="str">
        <x:v>EQ-057</x:v>
      </x:c>
      <x:c r="B62" s="8" t="str">
        <x:v>副武器</x:v>
      </x:c>
      <x:c r="C62" s="8" t="str">
        <x:v>P-19 救世主</x:v>
      </x:c>
      <x:c r="D62" s="14" t="n">
        <x:f>ROUND('定价参数'!$D$50*I62,2)</x:f>
        <x:v>600</x:v>
      </x:c>
      <x:c r="E62" s="8" t="str">
        <x:v>发</x:v>
      </x:c>
      <x:c r="F62" s="14" t="n">
        <x:f>ROUND('定价参数'!$D$7*J62,2)</x:f>
        <x:v>0.16</x:v>
      </x:c>
      <x:c r="G62" s="8" t="str">
        <x:v>消耗时计费</x:v>
      </x:c>
      <x:c r="H62" s="14" t="n">
        <x:f>0</x:f>
        <x:v>0</x:v>
      </x:c>
      <x:c r="I62" s="11" t="n">
        <x:v>1.2</x:v>
      </x:c>
      <x:c r="J62" s="11" t="n">
        <x:v>1</x:v>
      </x:c>
      <x:c r="K62" s="8" t="str">
        <x:v>B_PISTOL</x:v>
      </x:c>
      <x:c r="L62" s="8" t="str">
        <x:v>A_PISTOL_L</x:v>
      </x:c>
      <x:c r="M62" s="8" t="str">
        <x:v>采购价供装备价值对照；随身初始武器本体不逐次收费。</x:v>
      </x:c>
      <x:c r="N62" s="8" t="str">
        <x:v>https://helldivers.wiki.gg/wiki/P-19_Redeemer</x:v>
      </x:c>
      <x:c r="O62" s="8" t="str">
        <x:v>Wiki背景已核对；价格为MOD标准</x:v>
      </x:c>
      <x:c r="P62" s="8" t="str">
        <x:v>P-19 Redeemer</x:v>
      </x:c>
      <x:c r="Q62" s="8" t="str">
        <x:v>中文Wiki用名</x:v>
      </x:c>
      <x:c r="R62" s="62" t="str">
        <x:v>可全自动射击的高射速手枪。</x:v>
      </x:c>
      <x:c r="S62" s="62" t="str">
        <x:v>保留标准枪械/普通弹成本；射速、容量和联动厂商只影响用量或设备结构，不自动提高每发价。</x:v>
      </x:c>
      <x:c r="T62" s="62" t="str">
        <x:v>Wiki原文已逐页核对 · 2026-10-08</x:v>
      </x:c>
    </x:row>
    <x:row r="63" ht="52" customHeight="1">
      <x:c r="A63" s="2" t="str">
        <x:v>EQ-058</x:v>
      </x:c>
      <x:c r="B63" s="2" t="str">
        <x:v>副武器</x:v>
      </x:c>
      <x:c r="C63" s="2" t="str">
        <x:v>P-4 参议员</x:v>
      </x:c>
      <x:c r="D63" s="15" t="n">
        <x:f>ROUND('定价参数'!$D$50*I63,2)</x:f>
        <x:v>700</x:v>
      </x:c>
      <x:c r="E63" s="2" t="str">
        <x:v>发</x:v>
      </x:c>
      <x:c r="F63" s="15" t="n">
        <x:f>ROUND('定价参数'!$D$10*J63,2)</x:f>
        <x:v>1.6</x:v>
      </x:c>
      <x:c r="G63" s="2" t="str">
        <x:v>消耗时计费</x:v>
      </x:c>
      <x:c r="H63" s="15" t="n">
        <x:f>0</x:f>
        <x:v>0</x:v>
      </x:c>
      <x:c r="I63" s="11" t="n">
        <x:v>1.4</x:v>
      </x:c>
      <x:c r="J63" s="11" t="n">
        <x:v>2</x:v>
      </x:c>
      <x:c r="K63" s="2" t="str">
        <x:v>B_PISTOL</x:v>
      </x:c>
      <x:c r="L63" s="2" t="str">
        <x:v>A_PISTOL_H</x:v>
      </x:c>
      <x:c r="M63" s="2" t="str">
        <x:v>采购价供装备价值对照；随身初始武器本体不逐次收费。</x:v>
      </x:c>
      <x:c r="N63" s="2" t="str">
        <x:v>https://helldivers.wiki.gg/wiki/P-4_Senator</x:v>
      </x:c>
      <x:c r="O63" s="2" t="str">
        <x:v>Wiki背景已核对；价格为MOD标准</x:v>
      </x:c>
      <x:c r="P63" s="2" t="str">
        <x:v>P-4 Senator</x:v>
      </x:c>
      <x:c r="Q63" s="2" t="str">
        <x:v>中文Wiki用名</x:v>
      </x:c>
      <x:c r="R63" s="25" t="str">
        <x:v>大威力、可逐发装填的可靠左轮。</x:v>
      </x:c>
      <x:c r="S63" s="25" t="str">
        <x:v>保留标准枪械/普通弹成本；射速、容量和联动厂商只影响用量或设备结构，不自动提高每发价。</x:v>
      </x:c>
      <x:c r="T63" s="25" t="str">
        <x:v>Wiki原文已逐页核对 · 2026-10-08</x:v>
      </x:c>
    </x:row>
    <x:row r="64" ht="52" customHeight="1">
      <x:c r="A64" s="8" t="str">
        <x:v>EQ-059</x:v>
      </x:c>
      <x:c r="B64" s="8" t="str">
        <x:v>副武器</x:v>
      </x:c>
      <x:c r="C64" s="8" t="str">
        <x:v>P-113 裁决</x:v>
      </x:c>
      <x:c r="D64" s="14" t="n">
        <x:f>ROUND('定价参数'!$D$50*I64,2)</x:f>
        <x:v>600</x:v>
      </x:c>
      <x:c r="E64" s="8" t="str">
        <x:v>发</x:v>
      </x:c>
      <x:c r="F64" s="14" t="n">
        <x:f>ROUND('定价参数'!$D$10*J64,2)</x:f>
        <x:v>0.8</x:v>
      </x:c>
      <x:c r="G64" s="8" t="str">
        <x:v>消耗时计费</x:v>
      </x:c>
      <x:c r="H64" s="14" t="n">
        <x:f>0</x:f>
        <x:v>0</x:v>
      </x:c>
      <x:c r="I64" s="11" t="n">
        <x:v>1.2</x:v>
      </x:c>
      <x:c r="J64" s="11" t="n">
        <x:v>1</x:v>
      </x:c>
      <x:c r="K64" s="8" t="str">
        <x:v>B_PISTOL</x:v>
      </x:c>
      <x:c r="L64" s="8" t="str">
        <x:v>A_PISTOL_H</x:v>
      </x:c>
      <x:c r="M64" s="8" t="str">
        <x:v>采购价供装备价值对照；随身初始武器本体不逐次收费。</x:v>
      </x:c>
      <x:c r="N64" s="8" t="str">
        <x:v>https://helldivers.wiki.gg/wiki/P-113_Verdict</x:v>
      </x:c>
      <x:c r="O64" s="8" t="str">
        <x:v>Wiki背景已核对；价格为MOD标准</x:v>
      </x:c>
      <x:c r="P64" s="8" t="str">
        <x:v>P-113 Verdict</x:v>
      </x:c>
      <x:c r="Q64" s="8" t="str">
        <x:v>中文Wiki用名</x:v>
      </x:c>
      <x:c r="R64" s="62" t="str">
        <x:v>半自动气动手枪，使用14mm中央发火弹。</x:v>
      </x:c>
      <x:c r="S64" s="62" t="str">
        <x:v>保留标准枪械/普通弹成本；射速、容量和联动厂商只影响用量或设备结构，不自动提高每发价。</x:v>
      </x:c>
      <x:c r="T64" s="62" t="str">
        <x:v>Wiki原文已逐页核对 · 2026-10-08</x:v>
      </x:c>
    </x:row>
    <x:row r="65" ht="52" customHeight="1">
      <x:c r="A65" s="2" t="str">
        <x:v>EQ-060</x:v>
      </x:c>
      <x:c r="B65" s="2" t="str">
        <x:v>副武器</x:v>
      </x:c>
      <x:c r="C65" s="2" t="str">
        <x:v>P-92 法令</x:v>
      </x:c>
      <x:c r="D65" s="15" t="n">
        <x:f>ROUND('定价参数'!$D$50*I65,2)</x:f>
        <x:v>3000</x:v>
      </x:c>
      <x:c r="E65" s="2" t="str">
        <x:v>发</x:v>
      </x:c>
      <x:c r="F65" s="15" t="n">
        <x:f>ROUND('定价参数'!$D$116*J65,2)</x:f>
        <x:v>250</x:v>
      </x:c>
      <x:c r="G65" s="2" t="str">
        <x:v>消耗时计费</x:v>
      </x:c>
      <x:c r="H65" s="15" t="n">
        <x:f>0</x:f>
        <x:v>0</x:v>
      </x:c>
      <x:c r="I65" s="11" t="n">
        <x:v>6</x:v>
      </x:c>
      <x:c r="J65" s="11" t="n">
        <x:v>1</x:v>
      </x:c>
      <x:c r="K65" s="2" t="str">
        <x:v>B_PISTOL</x:v>
      </x:c>
      <x:c r="L65" s="2" t="str">
        <x:v>A_MICRO_GUIDED</x:v>
      </x:c>
      <x:c r="M65" s="2" t="str">
        <x:v>采购价供装备价值对照；随身初始武器本体不逐次收费。</x:v>
      </x:c>
      <x:c r="N65" s="2" t="str">
        <x:v>https://helldivers.wiki.gg/wiki/P-92_Warrant</x:v>
      </x:c>
      <x:c r="O65" s="2" t="str">
        <x:v>Wiki背景已核对；价格为MOD标准</x:v>
      </x:c>
      <x:c r="P65" s="2" t="str">
        <x:v>P-92 Warrant</x:v>
      </x:c>
      <x:c r="Q65" s="2" t="str">
        <x:v>中文Wiki用名</x:v>
      </x:c>
      <x:c r="R65" s="25" t="str">
        <x:v>可发射制导推进弹的点射手枪，也可关闭制导。</x:v>
      </x:c>
      <x:c r="S65" s="25" t="str">
        <x:v>每枚均带推进与导引功能；小型化复杂度使其高于普通爆弹，仍远低于反坦克导弹。</x:v>
      </x:c>
      <x:c r="T65" s="25" t="str">
        <x:v>Wiki原文已逐页核对 · 2026-10-08</x:v>
      </x:c>
    </x:row>
    <x:row r="66" ht="52" customHeight="1">
      <x:c r="A66" s="8" t="str">
        <x:v>EQ-061</x:v>
      </x:c>
      <x:c r="B66" s="8" t="str">
        <x:v>副武器</x:v>
      </x:c>
      <x:c r="C66" s="8" t="str">
        <x:v>M6C/SOCOM 特种作战手枪</x:v>
      </x:c>
      <x:c r="D66" s="14" t="n">
        <x:f>ROUND('定价参数'!$D$50*I66,2)</x:f>
        <x:v>1200</x:v>
      </x:c>
      <x:c r="E66" s="8" t="str">
        <x:v>发</x:v>
      </x:c>
      <x:c r="F66" s="14" t="n">
        <x:f>ROUND('定价参数'!$D$10*J66,2)</x:f>
        <x:v>0.8</x:v>
      </x:c>
      <x:c r="G66" s="8" t="str">
        <x:v>消耗时计费</x:v>
      </x:c>
      <x:c r="H66" s="14" t="n">
        <x:f>0</x:f>
        <x:v>0</x:v>
      </x:c>
      <x:c r="I66" s="11" t="n">
        <x:v>2.4</x:v>
      </x:c>
      <x:c r="J66" s="11" t="n">
        <x:v>1</x:v>
      </x:c>
      <x:c r="K66" s="8" t="str">
        <x:v>B_PISTOL</x:v>
      </x:c>
      <x:c r="L66" s="8" t="str">
        <x:v>A_PISTOL_H</x:v>
      </x:c>
      <x:c r="M66" s="8" t="str">
        <x:v>采购价供装备价值对照；随身初始武器本体不逐次收费。</x:v>
      </x:c>
      <x:c r="N66" s="8" t="str">
        <x:v>https://helldivers.wiki.gg/wiki/M6C/SOCOM_Pistol</x:v>
      </x:c>
      <x:c r="O66" s="8" t="str">
        <x:v>Wiki背景已核对；价格为MOD标准</x:v>
      </x:c>
      <x:c r="P66" s="8" t="str">
        <x:v>M6C/SOCOM Pistol</x:v>
      </x:c>
      <x:c r="Q66" s="8" t="str">
        <x:v>中文Wiki用名</x:v>
      </x:c>
      <x:c r="R66" s="62" t="str">
        <x:v>Martian Armory制造，内置激光瞄具、消音器和照明。</x:v>
      </x:c>
      <x:c r="S66" s="62" t="str">
        <x:v>内置激光瞄具、消音器和照明计入整枪价，保留原大口径弹价。</x:v>
      </x:c>
      <x:c r="T66" s="62" t="str">
        <x:v>Wiki原文已逐页核对 · 2026-10-08</x:v>
      </x:c>
    </x:row>
    <x:row r="67" ht="52" customHeight="1">
      <x:c r="A67" s="2" t="str">
        <x:v>EQ-062</x:v>
      </x:c>
      <x:c r="B67" s="2" t="str">
        <x:v>副武器</x:v>
      </x:c>
      <x:c r="C67" s="2" t="str">
        <x:v>P-69 否决者</x:v>
      </x:c>
      <x:c r="D67" s="15" t="n">
        <x:f>ROUND('定价参数'!$D$50*I67,2)</x:f>
        <x:v>1000</x:v>
      </x:c>
      <x:c r="E67" s="2" t="str">
        <x:v>发</x:v>
      </x:c>
      <x:c r="F67" s="15" t="n">
        <x:f>ROUND('定价参数'!$D$117*J67,2)</x:f>
        <x:v>8</x:v>
      </x:c>
      <x:c r="G67" s="2" t="str">
        <x:v>消耗时计费</x:v>
      </x:c>
      <x:c r="H67" s="15" t="n">
        <x:f>0</x:f>
        <x:v>0</x:v>
      </x:c>
      <x:c r="I67" s="11" t="n">
        <x:v>2</x:v>
      </x:c>
      <x:c r="J67" s="11" t="n">
        <x:v>1</x:v>
      </x:c>
      <x:c r="K67" s="2" t="str">
        <x:v>B_PISTOL</x:v>
      </x:c>
      <x:c r="L67" s="2" t="str">
        <x:v>A_JET_SMALL</x:v>
      </x:c>
      <x:c r="M67" s="2" t="str">
        <x:v>采购价供装备价值对照；随身初始武器本体不逐次收费。</x:v>
      </x:c>
      <x:c r="N67" s="2" t="str">
        <x:v>https://helldivers.wiki.gg/wiki/P-69_Veto</x:v>
      </x:c>
      <x:c r="O67" s="2" t="str">
        <x:v>Wiki背景已核对；价格为MOD标准</x:v>
      </x:c>
      <x:c r="P67" s="2" t="str">
        <x:v>P-69 Veto</x:v>
      </x:c>
      <x:c r="Q67" s="2" t="str">
        <x:v>中文Wiki用名</x:v>
      </x:c>
      <x:c r="R67" s="25" t="str">
        <x:v>使用助推式弹药，强化对近敌的击退效果。</x:v>
      </x:c>
      <x:c r="S67" s="25" t="str">
        <x:v>助推弹不能按9mm普通弹收费；无制导，价格低于制导微弹。</x:v>
      </x:c>
      <x:c r="T67" s="25" t="str">
        <x:v>Wiki原文已逐页核对 · 2026-10-08</x:v>
      </x:c>
    </x:row>
    <x:row r="68" ht="52" customHeight="1">
      <x:c r="A68" s="8" t="str">
        <x:v>EQ-063</x:v>
      </x:c>
      <x:c r="B68" s="8" t="str">
        <x:v>副武器</x:v>
      </x:c>
      <x:c r="C68" s="8" t="str">
        <x:v>CQC-19 眩晕长矛</x:v>
      </x:c>
      <x:c r="D68" s="14" t="n">
        <x:f>ROUND('定价参数'!$D$56*I68,2)</x:f>
        <x:v>600</x:v>
      </x:c>
      <x:c r="E68" s="8" t="str">
        <x:v>—</x:v>
      </x:c>
      <x:c r="F68" s="14" t="n">
        <x:v>0</x:v>
      </x:c>
      <x:c r="G68" s="8" t="str">
        <x:v>新发放整件计费</x:v>
      </x:c>
      <x:c r="H68" s="14" t="n">
        <x:f>0</x:f>
        <x:v>0</x:v>
      </x:c>
      <x:c r="I68" s="11" t="n">
        <x:v>4</x:v>
      </x:c>
      <x:c r="J68" s="11" t="n">
        <x:v>0</x:v>
      </x:c>
      <x:c r="K68" s="8" t="str">
        <x:v>B_MELEE</x:v>
      </x:c>
      <x:c r="L68" s="8" t="str"/>
      <x:c r="M68" s="8" t="str">
        <x:v>整件采购/发放价，任务内挥动、挖掘、电击和一般维护不另计动作费。实际新发放一件收一次本体价；已有装备拾回/队友转交不再次采购。</x:v>
      </x:c>
      <x:c r="N68" s="8" t="str">
        <x:v>https://helldivers.wiki.gg/wiki/CQC-19_Stun_Lance</x:v>
      </x:c>
      <x:c r="O68" s="8" t="str">
        <x:v>Wiki背景已核对；价格为MOD标准</x:v>
      </x:c>
      <x:c r="P68" s="8" t="str">
        <x:v>CQC-19 Stun Lance</x:v>
      </x:c>
      <x:c r="Q68" s="8" t="str">
        <x:v>中文Wiki用名</x:v>
      </x:c>
      <x:c r="R68" s="62" t="str">
        <x:v>尖端带电的单手近战长矛，可暂时眩晕敌人。</x:v>
      </x:c>
      <x:c r="S68" s="62" t="str">
        <x:v>整件采购/发放价，任务内挥动、挖掘、电击和一般维护不另计动作费。</x:v>
      </x:c>
      <x:c r="T68" s="62" t="str">
        <x:v>Wiki原文已逐页核对 · 2026-10-08</x:v>
      </x:c>
    </x:row>
    <x:row r="69" ht="52" customHeight="1">
      <x:c r="A69" s="2" t="str">
        <x:v>EQ-064</x:v>
      </x:c>
      <x:c r="B69" s="2" t="str">
        <x:v>副武器</x:v>
      </x:c>
      <x:c r="C69" s="2" t="str">
        <x:v>CQC-30 眩晕短棍</x:v>
      </x:c>
      <x:c r="D69" s="15" t="n">
        <x:f>ROUND('定价参数'!$D$56*I69,2)</x:f>
        <x:v>300</x:v>
      </x:c>
      <x:c r="E69" s="2" t="str">
        <x:v>—</x:v>
      </x:c>
      <x:c r="F69" s="15" t="n">
        <x:v>0</x:v>
      </x:c>
      <x:c r="G69" s="2" t="str">
        <x:v>新发放整件计费</x:v>
      </x:c>
      <x:c r="H69" s="15" t="n">
        <x:f>0</x:f>
        <x:v>0</x:v>
      </x:c>
      <x:c r="I69" s="11" t="n">
        <x:v>2</x:v>
      </x:c>
      <x:c r="J69" s="11" t="n">
        <x:v>0</x:v>
      </x:c>
      <x:c r="K69" s="2" t="str">
        <x:v>B_MELEE</x:v>
      </x:c>
      <x:c r="L69" s="2" t="str"/>
      <x:c r="M69" s="2" t="str">
        <x:v>整件采购/发放价，任务内挥动、挖掘、电击和一般维护不另计动作费。实际新发放一件收一次本体价；已有装备拾回/队友转交不再次采购。</x:v>
      </x:c>
      <x:c r="N69" s="2" t="str">
        <x:v>https://helldivers.wiki.gg/wiki/CQC-30_Stun_Baton</x:v>
      </x:c>
      <x:c r="O69" s="2" t="str">
        <x:v>Wiki背景已核对；价格为MOD标准</x:v>
      </x:c>
      <x:c r="P69" s="2" t="str">
        <x:v>CQC-30 Stun Baton</x:v>
      </x:c>
      <x:c r="Q69" s="2" t="str">
        <x:v>中文Wiki用名</x:v>
      </x:c>
      <x:c r="R69" s="25" t="str">
        <x:v>轻型单手电击近战武器。</x:v>
      </x:c>
      <x:c r="S69" s="25" t="str">
        <x:v>整件采购/发放价，任务内挥动、挖掘、电击和一般维护不另计动作费。</x:v>
      </x:c>
      <x:c r="T69" s="25" t="str">
        <x:v>Wiki原文已逐页核对 · 2026-10-08</x:v>
      </x:c>
    </x:row>
    <x:row r="70" ht="52" customHeight="1">
      <x:c r="A70" s="8" t="str">
        <x:v>EQ-065</x:v>
      </x:c>
      <x:c r="B70" s="8" t="str">
        <x:v>副武器</x:v>
      </x:c>
      <x:c r="C70" s="8" t="str">
        <x:v>CQC-5 战斗短柄斧</x:v>
      </x:c>
      <x:c r="D70" s="14" t="n">
        <x:f>ROUND('定价参数'!$D$56*I70,2)</x:f>
        <x:v>150</x:v>
      </x:c>
      <x:c r="E70" s="8" t="str">
        <x:v>—</x:v>
      </x:c>
      <x:c r="F70" s="14" t="n">
        <x:v>0</x:v>
      </x:c>
      <x:c r="G70" s="8" t="str">
        <x:v>新发放整件计费</x:v>
      </x:c>
      <x:c r="H70" s="14" t="n">
        <x:f>0</x:f>
        <x:v>0</x:v>
      </x:c>
      <x:c r="I70" s="11" t="n">
        <x:v>1</x:v>
      </x:c>
      <x:c r="J70" s="11" t="n">
        <x:v>0</x:v>
      </x:c>
      <x:c r="K70" s="8" t="str">
        <x:v>B_MELEE</x:v>
      </x:c>
      <x:c r="L70" s="8" t="str"/>
      <x:c r="M70" s="8" t="str">
        <x:v>整件采购/发放价，任务内挥动、挖掘、电击和一般维护不另计动作费。实际新发放一件收一次本体价；已有装备拾回/队友转交不再次采购。</x:v>
      </x:c>
      <x:c r="N70" s="8" t="str">
        <x:v>https://helldivers.wiki.gg/wiki/CQC-5_Combat_Hatchet</x:v>
      </x:c>
      <x:c r="O70" s="8" t="str">
        <x:v>Wiki背景已核对；价格为MOD标准</x:v>
      </x:c>
      <x:c r="P70" s="8" t="str">
        <x:v>CQC-5 Combat Hatchet</x:v>
      </x:c>
      <x:c r="Q70" s="8" t="str">
        <x:v>中文Wiki用名</x:v>
      </x:c>
      <x:c r="R70" s="62" t="str">
        <x:v>单手重击战斧。</x:v>
      </x:c>
      <x:c r="S70" s="62" t="str">
        <x:v>整件采购/发放价，任务内挥动、挖掘、电击和一般维护不另计动作费。</x:v>
      </x:c>
      <x:c r="T70" s="62" t="str">
        <x:v>Wiki原文已逐页核对 · 2026-10-08</x:v>
      </x:c>
    </x:row>
    <x:row r="71" ht="52" customHeight="1">
      <x:c r="A71" s="2" t="str">
        <x:v>EQ-066</x:v>
      </x:c>
      <x:c r="B71" s="2" t="str">
        <x:v>副武器</x:v>
      </x:c>
      <x:c r="C71" s="2" t="str">
        <x:v>CQC-2 军刀</x:v>
      </x:c>
      <x:c r="D71" s="15" t="n">
        <x:f>ROUND('定价参数'!$D$56*I71,2)</x:f>
        <x:v>300</x:v>
      </x:c>
      <x:c r="E71" s="2" t="str">
        <x:v>—</x:v>
      </x:c>
      <x:c r="F71" s="15" t="n">
        <x:v>0</x:v>
      </x:c>
      <x:c r="G71" s="2" t="str">
        <x:v>新发放整件计费</x:v>
      </x:c>
      <x:c r="H71" s="15" t="n">
        <x:f>0</x:f>
        <x:v>0</x:v>
      </x:c>
      <x:c r="I71" s="11" t="n">
        <x:v>2</x:v>
      </x:c>
      <x:c r="J71" s="11" t="n">
        <x:v>0</x:v>
      </x:c>
      <x:c r="K71" s="2" t="str">
        <x:v>B_MELEE</x:v>
      </x:c>
      <x:c r="L71" s="2" t="str"/>
      <x:c r="M71" s="2" t="str">
        <x:v>整件采购/发放价，任务内挥动、挖掘、电击和一般维护不另计动作费。实际新发放一件收一次本体价；已有装备拾回/队友转交不再次采购。</x:v>
      </x:c>
      <x:c r="N71" s="2" t="str">
        <x:v>https://helldivers.wiki.gg/wiki/CQC-2_Saber</x:v>
      </x:c>
      <x:c r="O71" s="2" t="str">
        <x:v>Wiki背景已核对；价格为MOD标准</x:v>
      </x:c>
      <x:c r="P71" s="2" t="str">
        <x:v>CQC-2 Saber</x:v>
      </x:c>
      <x:c r="Q71" s="2" t="str">
        <x:v>中文Wiki用名</x:v>
      </x:c>
      <x:c r="R71" s="25" t="str">
        <x:v>可用于仪式、开瓶与战斗的单手军刀。</x:v>
      </x:c>
      <x:c r="S71" s="25" t="str">
        <x:v>整件采购/发放价，任务内挥动、挖掘、电击和一般维护不另计动作费。</x:v>
      </x:c>
      <x:c r="T71" s="25" t="str">
        <x:v>Wiki原文已逐页核对 · 2026-10-08</x:v>
      </x:c>
    </x:row>
    <x:row r="72" ht="52" customHeight="1">
      <x:c r="A72" s="8" t="str">
        <x:v>EQ-067</x:v>
      </x:c>
      <x:c r="B72" s="8" t="str">
        <x:v>副武器</x:v>
      </x:c>
      <x:c r="C72" s="8" t="str">
        <x:v>CQC-42 砍刀</x:v>
      </x:c>
      <x:c r="D72" s="14" t="n">
        <x:f>ROUND('定价参数'!$D$56*I72,2)</x:f>
        <x:v>150</x:v>
      </x:c>
      <x:c r="E72" s="8" t="str">
        <x:v>—</x:v>
      </x:c>
      <x:c r="F72" s="14" t="n">
        <x:v>0</x:v>
      </x:c>
      <x:c r="G72" s="8" t="str">
        <x:v>新发放整件计费</x:v>
      </x:c>
      <x:c r="H72" s="14" t="n">
        <x:f>0</x:f>
        <x:v>0</x:v>
      </x:c>
      <x:c r="I72" s="11" t="n">
        <x:v>1</x:v>
      </x:c>
      <x:c r="J72" s="11" t="n">
        <x:v>0</x:v>
      </x:c>
      <x:c r="K72" s="8" t="str">
        <x:v>B_MELEE</x:v>
      </x:c>
      <x:c r="L72" s="8" t="str"/>
      <x:c r="M72" s="8" t="str">
        <x:v>整件采购/发放价，任务内挥动、挖掘、电击和一般维护不另计动作费。实际新发放一件收一次本体价；已有装备拾回/队友转交不再次采购。</x:v>
      </x:c>
      <x:c r="N72" s="8" t="str">
        <x:v>https://helldivers.wiki.gg/wiki/CQC-42_Machete</x:v>
      </x:c>
      <x:c r="O72" s="8" t="str">
        <x:v>Wiki背景已核对；价格为MOD标准</x:v>
      </x:c>
      <x:c r="P72" s="8" t="str">
        <x:v>CQC-42 Machete</x:v>
      </x:c>
      <x:c r="Q72" s="8" t="str">
        <x:v>中文Wiki用名</x:v>
      </x:c>
      <x:c r="R72" s="62" t="str">
        <x:v>较重的单手刀刃，挥动较慢而打击较强。</x:v>
      </x:c>
      <x:c r="S72" s="62" t="str">
        <x:v>整件采购/发放价，任务内挥动、挖掘、电击和一般维护不另计动作费。</x:v>
      </x:c>
      <x:c r="T72" s="62" t="str">
        <x:v>Wiki原文已逐页核对 · 2026-10-08</x:v>
      </x:c>
    </x:row>
    <x:row r="73" ht="52" customHeight="1">
      <x:c r="A73" s="2" t="str">
        <x:v>EQ-068</x:v>
      </x:c>
      <x:c r="B73" s="2" t="str">
        <x:v>副武器</x:v>
      </x:c>
      <x:c r="C73" s="2" t="str">
        <x:v>CQC-73 堑壕工具</x:v>
      </x:c>
      <x:c r="D73" s="15" t="n">
        <x:f>ROUND('定价参数'!$D$56*I73,2)</x:f>
        <x:v>150</x:v>
      </x:c>
      <x:c r="E73" s="2" t="str">
        <x:v>—</x:v>
      </x:c>
      <x:c r="F73" s="15" t="n">
        <x:v>0</x:v>
      </x:c>
      <x:c r="G73" s="2" t="str">
        <x:v>新发放整件计费</x:v>
      </x:c>
      <x:c r="H73" s="15" t="n">
        <x:f>0</x:f>
        <x:v>0</x:v>
      </x:c>
      <x:c r="I73" s="11" t="n">
        <x:v>1</x:v>
      </x:c>
      <x:c r="J73" s="11" t="n">
        <x:v>0</x:v>
      </x:c>
      <x:c r="K73" s="2" t="str">
        <x:v>B_MELEE</x:v>
      </x:c>
      <x:c r="L73" s="2" t="str"/>
      <x:c r="M73" s="2" t="str">
        <x:v>整件采购/发放价，任务内挥动、挖掘、电击和一般维护不另计动作费。实际新发放一件收一次本体价；已有装备拾回/队友转交不再次采购。</x:v>
      </x:c>
      <x:c r="N73" s="2" t="str">
        <x:v>https://helldivers.wiki.gg/wiki/CQC-73_Entrenchment_Tool</x:v>
      </x:c>
      <x:c r="O73" s="2" t="str">
        <x:v>已核对Wiki概述；CQC型号命名有差异</x:v>
      </x:c>
      <x:c r="P73" s="2" t="str">
        <x:v>CQC-73 Entrenchment Tool</x:v>
      </x:c>
      <x:c r="Q73" s="2" t="str">
        <x:v>中文Wiki用名</x:v>
      </x:c>
      <x:c r="R73" s="25" t="str">
        <x:v>可装备为副武器的铲形近战工具；Wiki称CQC-73，游戏显示仍可能为CQC-72。</x:v>
      </x:c>
      <x:c r="S73" s="25" t="str">
        <x:v>整件采购/发放价，任务内挥动、挖掘、电击和一般维护不另计动作费。</x:v>
      </x:c>
      <x:c r="T73" s="25" t="str">
        <x:v>Wiki说明已核对；无军械库背景引文</x:v>
      </x:c>
    </x:row>
    <x:row r="74" ht="52" customHeight="1">
      <x:c r="A74" s="8" t="str">
        <x:v>EQ-069</x:v>
      </x:c>
      <x:c r="B74" s="8" t="str">
        <x:v>副武器</x:v>
      </x:c>
      <x:c r="C74" s="8" t="str">
        <x:v>LAS-7 匕首</x:v>
      </x:c>
      <x:c r="D74" s="14" t="n">
        <x:f>ROUND('定价参数'!$D$52*I74,2)</x:f>
        <x:v>3200</x:v>
      </x:c>
      <x:c r="E74" s="8" t="str">
        <x:v>秒</x:v>
      </x:c>
      <x:c r="F74" s="14" t="n">
        <x:f>ROUND('定价参数'!$D$28*J74,2)</x:f>
        <x:v>0.03</x:v>
      </x:c>
      <x:c r="G74" s="8" t="str">
        <x:v>消耗时计费</x:v>
      </x:c>
      <x:c r="H74" s="14" t="n">
        <x:f>'定价参数'!$D$44</x:f>
        <x:v>75</x:v>
      </x:c>
      <x:c r="I74" s="11" t="n">
        <x:v>0.4</x:v>
      </x:c>
      <x:c r="J74" s="11" t="n">
        <x:v>0.5</x:v>
      </x:c>
      <x:c r="K74" s="8" t="str">
        <x:v>B_LAS_P</x:v>
      </x:c>
      <x:c r="L74" s="8" t="str">
        <x:v>A_LASER_S</x:v>
      </x:c>
      <x:c r="M74" s="8" t="str">
        <x:v>采购价供装备价值对照；随身初始武器本体不逐次收费。供能按次/秒；更换散热器另计件价，不虚构剩余子弹。</x:v>
      </x:c>
      <x:c r="N74" s="8" t="str">
        <x:v>https://helldivers.wiki.gg/wiki/LAS-7_Dagger</x:v>
      </x:c>
      <x:c r="O74" s="8" t="str">
        <x:v>Wiki背景已核对；价格为MOD标准</x:v>
      </x:c>
      <x:c r="P74" s="8" t="str">
        <x:v>LAS-7 Dagger</x:v>
      </x:c>
      <x:c r="Q74" s="8" t="str">
        <x:v>中文Wiki用名</x:v>
      </x:c>
      <x:c r="R74" s="62" t="str">
        <x:v>连续光束激光手枪，过热后可更换能源/散热组件。</x:v>
      </x:c>
      <x:c r="S74" s="62" t="str">
        <x:v>维持设备本体较贵、供能耗材较低的成本结构；功能和耗材类型已逐件核对，发射次数/秒数与更换散热器分别计费。</x:v>
      </x:c>
      <x:c r="T74" s="62" t="str">
        <x:v>Wiki原文已逐页核对 · 2026-10-08</x:v>
      </x:c>
    </x:row>
    <x:row r="75" ht="52" customHeight="1">
      <x:c r="A75" s="2" t="str">
        <x:v>EQ-070</x:v>
      </x:c>
      <x:c r="B75" s="2" t="str">
        <x:v>副武器</x:v>
      </x:c>
      <x:c r="C75" s="2" t="str">
        <x:v>GP-31 榴弹手枪</x:v>
      </x:c>
      <x:c r="D75" s="15" t="n">
        <x:f>ROUND('定价参数'!$D$51*I75,2)</x:f>
        <x:v>1400</x:v>
      </x:c>
      <x:c r="E75" s="2" t="str">
        <x:v>发</x:v>
      </x:c>
      <x:c r="F75" s="15" t="n">
        <x:f>ROUND('定价参数'!$D$13*J75,2)</x:f>
        <x:v>80</x:v>
      </x:c>
      <x:c r="G75" s="2" t="str">
        <x:v>消耗时计费</x:v>
      </x:c>
      <x:c r="H75" s="15" t="n">
        <x:f>0</x:f>
        <x:v>0</x:v>
      </x:c>
      <x:c r="I75" s="11" t="n">
        <x:v>0.4</x:v>
      </x:c>
      <x:c r="J75" s="11" t="n">
        <x:v>1</x:v>
      </x:c>
      <x:c r="K75" s="2" t="str">
        <x:v>B_GL_P</x:v>
      </x:c>
      <x:c r="L75" s="2" t="str">
        <x:v>A_GRENADE</x:v>
      </x:c>
      <x:c r="M75" s="2" t="str">
        <x:v>采购价供装备价值对照；随身初始武器本体不逐次收费。</x:v>
      </x:c>
      <x:c r="N75" s="2" t="str">
        <x:v>https://helldivers.wiki.gg/wiki/GP-31_Grenade_Pistol</x:v>
      </x:c>
      <x:c r="O75" s="2" t="str">
        <x:v>Wiki背景已核对；价格为MOD标准</x:v>
      </x:c>
      <x:c r="P75" s="2" t="str">
        <x:v>GP-31 Grenade Pistol</x:v>
      </x:c>
      <x:c r="Q75" s="2" t="str">
        <x:v>中文Wiki用名</x:v>
      </x:c>
      <x:c r="R75" s="25" t="str">
        <x:v>逐发装填的榴弹手枪。</x:v>
      </x:c>
      <x:c r="S75" s="25" t="str">
        <x:v>保留标准枪械/普通弹成本；射速、容量和联动厂商只影响用量或设备结构，不自动提高每发价。</x:v>
      </x:c>
      <x:c r="T75" s="25" t="str">
        <x:v>Wiki原文已逐页核对 · 2026-10-08</x:v>
      </x:c>
    </x:row>
    <x:row r="76" ht="52" customHeight="1">
      <x:c r="A76" s="8" t="str">
        <x:v>EQ-071</x:v>
      </x:c>
      <x:c r="B76" s="8" t="str">
        <x:v>副武器</x:v>
      </x:c>
      <x:c r="C76" s="8" t="str">
        <x:v>SG-22 游击兵</x:v>
      </x:c>
      <x:c r="D76" s="14" t="n">
        <x:f>ROUND('定价参数'!$D$50*I76,2)</x:f>
        <x:v>650</x:v>
      </x:c>
      <x:c r="E76" s="8" t="str">
        <x:v>发</x:v>
      </x:c>
      <x:c r="F76" s="14" t="n">
        <x:f>ROUND('定价参数'!$D$9*J76,2)</x:f>
        <x:v>0.52</x:v>
      </x:c>
      <x:c r="G76" s="8" t="str">
        <x:v>消耗时计费</x:v>
      </x:c>
      <x:c r="H76" s="14" t="n">
        <x:f>0</x:f>
        <x:v>0</x:v>
      </x:c>
      <x:c r="I76" s="11" t="n">
        <x:v>1.3</x:v>
      </x:c>
      <x:c r="J76" s="11" t="n">
        <x:v>1</x:v>
      </x:c>
      <x:c r="K76" s="8" t="str">
        <x:v>B_PISTOL</x:v>
      </x:c>
      <x:c r="L76" s="8" t="str">
        <x:v>A_SHOT</x:v>
      </x:c>
      <x:c r="M76" s="8" t="str">
        <x:v>每枚实际消耗弹药分别计费；齐射三管/七管时使用总弹数，不能只记一次扳机，也不再按命中数收费。</x:v>
      </x:c>
      <x:c r="N76" s="8" t="str">
        <x:v>https://helldivers.wiki.gg/wiki/SG-22_Bushwhacker</x:v>
      </x:c>
      <x:c r="O76" s="8" t="str">
        <x:v>Wiki背景已核对；价格为MOD标准</x:v>
      </x:c>
      <x:c r="P76" s="8" t="str">
        <x:v>SG-22 Bushwhacker</x:v>
      </x:c>
      <x:c r="Q76" s="8" t="str">
        <x:v>中文Wiki用名</x:v>
      </x:c>
      <x:c r="R76" s="62" t="str">
        <x:v>三管中折式短霰弹枪，可选择同时发射三管。</x:v>
      </x:c>
      <x:c r="S76" s="62" t="str">
        <x:v>保留标准枪械/普通弹成本；射速、容量和联动厂商只影响用量或设备结构，不自动提高每发价。</x:v>
      </x:c>
      <x:c r="T76" s="62" t="str">
        <x:v>Wiki原文已逐页核对 · 2026-10-08</x:v>
      </x:c>
    </x:row>
    <x:row r="77" ht="52" customHeight="1">
      <x:c r="A77" s="2" t="str">
        <x:v>EQ-072</x:v>
      </x:c>
      <x:c r="B77" s="2" t="str">
        <x:v>副武器</x:v>
      </x:c>
      <x:c r="C77" s="2" t="str">
        <x:v>P-72 迅击</x:v>
      </x:c>
      <x:c r="D77" s="15" t="n">
        <x:f>ROUND('定价参数'!$D$55*I77,2)</x:f>
        <x:v>800</x:v>
      </x:c>
      <x:c r="E77" s="2" t="str">
        <x:v>显示单位</x:v>
      </x:c>
      <x:c r="F77" s="15" t="n">
        <x:f>ROUND('定价参数'!$D$25*J77,2)</x:f>
        <x:v>0.3</x:v>
      </x:c>
      <x:c r="G77" s="2" t="str">
        <x:v>消耗时计费</x:v>
      </x:c>
      <x:c r="H77" s="15" t="n">
        <x:f>0</x:f>
        <x:v>0</x:v>
      </x:c>
      <x:c r="I77" s="11" t="n">
        <x:v>0.5</x:v>
      </x:c>
      <x:c r="J77" s="11" t="n">
        <x:v>1</x:v>
      </x:c>
      <x:c r="K77" s="2" t="str">
        <x:v>B_FLAM_P</x:v>
      </x:c>
      <x:c r="L77" s="2" t="str">
        <x:v>A_FUEL</x:v>
      </x:c>
      <x:c r="M77" s="2" t="str">
        <x:v>采购价供装备价值对照；随身初始武器本体不逐次收费。单位是游戏弹量显示单位，尚无可靠升数换算。</x:v>
      </x:c>
      <x:c r="N77" s="2" t="str">
        <x:v>https://helldivers.wiki.gg/wiki/P-72_Crisper</x:v>
      </x:c>
      <x:c r="O77" s="2" t="str">
        <x:v>Wiki背景已核对；价格为MOD标准</x:v>
      </x:c>
      <x:c r="P77" s="2" t="str">
        <x:v>P-72 Crisper</x:v>
      </x:c>
      <x:c r="Q77" s="2" t="str">
        <x:v>中文Wiki用名</x:v>
      </x:c>
      <x:c r="R77" s="25" t="str">
        <x:v>可单手使用的短距离微型火焰喷射器。</x:v>
      </x:c>
      <x:c r="S77" s="25" t="str">
        <x:v>按专用燃料、药剂或装药计价，设备与耗材分开；现有基价与对应构造相符。</x:v>
      </x:c>
      <x:c r="T77" s="25" t="str">
        <x:v>Wiki原文已逐页核对 · 2026-10-08</x:v>
      </x:c>
    </x:row>
    <x:row r="78" ht="52" customHeight="1">
      <x:c r="A78" s="8" t="str">
        <x:v>EQ-073</x:v>
      </x:c>
      <x:c r="B78" s="8" t="str">
        <x:v>副武器</x:v>
      </x:c>
      <x:c r="C78" s="8" t="str">
        <x:v>P-11 治疗剂手枪</x:v>
      </x:c>
      <x:c r="D78" s="14" t="n">
        <x:f>ROUND('定价参数'!$D$50*I78,2)</x:f>
        <x:v>800</x:v>
      </x:c>
      <x:c r="E78" s="8" t="str">
        <x:v>支</x:v>
      </x:c>
      <x:c r="F78" s="14" t="n">
        <x:f>ROUND('定价参数'!$D$34*J78,2)</x:f>
        <x:v>25</x:v>
      </x:c>
      <x:c r="G78" s="8" t="str">
        <x:v>消耗时计费</x:v>
      </x:c>
      <x:c r="H78" s="14" t="n">
        <x:f>0</x:f>
        <x:v>0</x:v>
      </x:c>
      <x:c r="I78" s="11" t="n">
        <x:v>1.6</x:v>
      </x:c>
      <x:c r="J78" s="11" t="n">
        <x:v>1</x:v>
      </x:c>
      <x:c r="K78" s="8" t="str">
        <x:v>B_PISTOL</x:v>
      </x:c>
      <x:c r="L78" s="8" t="str">
        <x:v>A_STIM</x:v>
      </x:c>
      <x:c r="M78" s="8" t="str">
        <x:v>采购价供装备价值对照；随身初始武器本体不逐次收费。</x:v>
      </x:c>
      <x:c r="N78" s="8" t="str">
        <x:v>https://helldivers.wiki.gg/wiki/P-11_Stim_Pistol</x:v>
      </x:c>
      <x:c r="O78" s="8" t="str">
        <x:v>Wiki背景已核对；价格为MOD标准</x:v>
      </x:c>
      <x:c r="P78" s="8" t="str">
        <x:v>P-11 Stim Pistol</x:v>
      </x:c>
      <x:c r="Q78" s="8" t="str">
        <x:v>中文Wiki用名</x:v>
      </x:c>
      <x:c r="R78" s="62" t="str">
        <x:v>远程发射医疗注射飞镖，为队友施用治疗剂。</x:v>
      </x:c>
      <x:c r="S78" s="62" t="str">
        <x:v>按专用燃料、药剂或装药计价，设备与耗材分开；现有基价与对应构造相符。</x:v>
      </x:c>
      <x:c r="T78" s="62" t="str">
        <x:v>Wiki原文已逐页核对 · 2026-10-08</x:v>
      </x:c>
    </x:row>
    <x:row r="79" ht="52" customHeight="1">
      <x:c r="A79" s="2" t="str">
        <x:v>EQ-074</x:v>
      </x:c>
      <x:c r="B79" s="2" t="str">
        <x:v>副武器</x:v>
      </x:c>
      <x:c r="C79" s="2" t="str">
        <x:v>PLAS-15 忠诚者</x:v>
      </x:c>
      <x:c r="D79" s="15" t="n">
        <x:f>ROUND('定价参数'!$D$53*I79,2)</x:f>
        <x:v>6000</x:v>
      </x:c>
      <x:c r="E79" s="2" t="str">
        <x:v>发</x:v>
      </x:c>
      <x:c r="F79" s="15" t="n">
        <x:f>ROUND('定价参数'!$D$23*J79,2)</x:f>
        <x:v>4.5</x:v>
      </x:c>
      <x:c r="G79" s="2" t="str">
        <x:v>消耗时计费</x:v>
      </x:c>
      <x:c r="H79" s="15" t="n">
        <x:f>0</x:f>
        <x:v>0</x:v>
      </x:c>
      <x:c r="I79" s="11" t="n">
        <x:v>0.5</x:v>
      </x:c>
      <x:c r="J79" s="11" t="n">
        <x:v>1.5</x:v>
      </x:c>
      <x:c r="K79" s="2" t="str">
        <x:v>B_PLAS_P</x:v>
      </x:c>
      <x:c r="L79" s="2" t="str">
        <x:v>A_PLASMA</x:v>
      </x:c>
      <x:c r="M79" s="2" t="str">
        <x:v>采购价供装备价值对照；随身初始武器本体不逐次收费。蓄力不自动多算一发；以实际弹药扣除量为准。</x:v>
      </x:c>
      <x:c r="N79" s="2" t="str">
        <x:v>https://helldivers.wiki.gg/wiki/PLAS-15_Loyalist</x:v>
      </x:c>
      <x:c r="O79" s="2" t="str">
        <x:v>Wiki背景已核对；价格为MOD标准</x:v>
      </x:c>
      <x:c r="P79" s="2" t="str">
        <x:v>PLAS-15 Loyalist</x:v>
      </x:c>
      <x:c r="Q79" s="2" t="str">
        <x:v>中文Wiki用名</x:v>
      </x:c>
      <x:c r="R79" s="25" t="str">
        <x:v>可蓄力的等离子手枪，弹体命中爆炸。</x:v>
      </x:c>
      <x:c r="S79" s="25" t="str">
        <x:v>维持设备本体较贵、供能耗材较低的成本结构；功能和耗材类型已逐件核对，发射次数/秒数与更换散热器分别计费。</x:v>
      </x:c>
      <x:c r="T79" s="25" t="str">
        <x:v>Wiki原文已逐页核对 · 2026-10-08</x:v>
      </x:c>
    </x:row>
    <x:row r="80" ht="52" customHeight="1">
      <x:c r="A80" s="8" t="str">
        <x:v>EQ-075</x:v>
      </x:c>
      <x:c r="B80" s="8" t="str">
        <x:v>副武器</x:v>
      </x:c>
      <x:c r="C80" s="8" t="str">
        <x:v>GP-20 最后通牒</x:v>
      </x:c>
      <x:c r="D80" s="14" t="n">
        <x:f>ROUND('定价参数'!$D$51*I80,2)</x:f>
        <x:v>3500</x:v>
      </x:c>
      <x:c r="E80" s="8" t="str">
        <x:v>枚</x:v>
      </x:c>
      <x:c r="F80" s="14" t="n">
        <x:f>ROUND('定价参数'!$D$36*J80,2)</x:f>
        <x:v>25000</x:v>
      </x:c>
      <x:c r="G80" s="8" t="str">
        <x:v>消耗时计费</x:v>
      </x:c>
      <x:c r="H80" s="14" t="n">
        <x:f>0</x:f>
        <x:v>0</x:v>
      </x:c>
      <x:c r="I80" s="11" t="n">
        <x:v>1</x:v>
      </x:c>
      <x:c r="J80" s="11" t="n">
        <x:v>1</x:v>
      </x:c>
      <x:c r="K80" s="8" t="str">
        <x:v>B_GL_P</x:v>
      </x:c>
      <x:c r="L80" s="8" t="str">
        <x:v>A_NUKE</x:v>
      </x:c>
      <x:c r="M80" s="8" t="str">
        <x:v>采购价供装备价值对照；随身初始武器本体不逐次收费。</x:v>
      </x:c>
      <x:c r="N80" s="8" t="str">
        <x:v>https://helldivers.wiki.gg/wiki/GP-20_Ultimatum</x:v>
      </x:c>
      <x:c r="O80" s="8" t="str">
        <x:v>Wiki背景已核对；价格为MOD标准</x:v>
      </x:c>
      <x:c r="P80" s="8" t="str">
        <x:v>GP-20 Ultimatum</x:v>
      </x:c>
      <x:c r="Q80" s="8" t="str">
        <x:v>中文Wiki用名</x:v>
      </x:c>
      <x:c r="R80" s="62" t="str">
        <x:v>前装单发重型爆炸弹，弹体重量限制射程。</x:v>
      </x:c>
      <x:c r="S80" s="62" t="str">
        <x:v>保留大口径或穿甲弹溢价，未按伤害数值直接换算成本；每枚母弹只记一次。</x:v>
      </x:c>
      <x:c r="T80" s="62" t="str">
        <x:v>Wiki原文已逐页核对 · 2026-10-08</x:v>
      </x:c>
    </x:row>
    <x:row r="81" ht="52" customHeight="1">
      <x:c r="A81" s="2" t="str">
        <x:v>EQ-076</x:v>
      </x:c>
      <x:c r="B81" s="2" t="str">
        <x:v>副武器</x:v>
      </x:c>
      <x:c r="C81" s="2" t="str">
        <x:v>LAS-58 猛爪</x:v>
      </x:c>
      <x:c r="D81" s="15" t="n">
        <x:f>ROUND('定价参数'!$D$52*I81,2)</x:f>
        <x:v>4000</x:v>
      </x:c>
      <x:c r="E81" s="2" t="str">
        <x:v>次</x:v>
      </x:c>
      <x:c r="F81" s="15" t="n">
        <x:f>ROUND('定价参数'!$D$27*J81,2)</x:f>
        <x:v>0.01</x:v>
      </x:c>
      <x:c r="G81" s="2" t="str">
        <x:v>消耗时计费</x:v>
      </x:c>
      <x:c r="H81" s="15" t="n">
        <x:f>'定价参数'!$D$44</x:f>
        <x:v>75</x:v>
      </x:c>
      <x:c r="I81" s="11" t="n">
        <x:v>0.5</x:v>
      </x:c>
      <x:c r="J81" s="11" t="n">
        <x:v>1</x:v>
      </x:c>
      <x:c r="K81" s="2" t="str">
        <x:v>B_LAS_P</x:v>
      </x:c>
      <x:c r="L81" s="2" t="str">
        <x:v>A_LASER_P</x:v>
      </x:c>
      <x:c r="M81" s="2" t="str">
        <x:v>采购价供装备价值对照；随身初始武器本体不逐次收费。供能按次/秒；更换散热器另计件价，不虚构剩余子弹。</x:v>
      </x:c>
      <x:c r="N81" s="2" t="str">
        <x:v>https://helldivers.wiki.gg/wiki/LAS-58_Talon</x:v>
      </x:c>
      <x:c r="O81" s="2" t="str">
        <x:v>Wiki背景已核对；价格为MOD标准</x:v>
      </x:c>
      <x:c r="P81" s="2" t="str">
        <x:v>LAS-58 Talon</x:v>
      </x:c>
      <x:c r="Q81" s="2" t="str">
        <x:v>中文Wiki用名</x:v>
      </x:c>
      <x:c r="R81" s="25" t="str">
        <x:v>激光左轮，通过中折机构更换散热器；没有普通实弹匣。</x:v>
      </x:c>
      <x:c r="S81" s="25" t="str">
        <x:v>维持设备本体较贵、供能耗材较低的成本结构；功能和耗材类型已逐件核对，发射次数/秒数与更换散热器分别计费。</x:v>
      </x:c>
      <x:c r="T81" s="25" t="str">
        <x:v>Wiki原文已逐页核对 · 2026-10-08</x:v>
      </x:c>
    </x:row>
    <x:row r="82" ht="52" customHeight="1">
      <x:c r="A82" s="8" t="str">
        <x:v>EQ-077</x:v>
      </x:c>
      <x:c r="B82" s="8" t="str">
        <x:v>副武器</x:v>
      </x:c>
      <x:c r="C82" s="8" t="str">
        <x:v>P-35 思想改造</x:v>
      </x:c>
      <x:c r="D82" s="14" t="n">
        <x:f>ROUND('定价参数'!$D$50*I82,2)</x:f>
        <x:v>900</x:v>
      </x:c>
      <x:c r="E82" s="8" t="str">
        <x:v>发</x:v>
      </x:c>
      <x:c r="F82" s="14" t="n">
        <x:f>ROUND('定价参数'!$D$35*J82,2)</x:f>
        <x:v>15</x:v>
      </x:c>
      <x:c r="G82" s="8" t="str">
        <x:v>消耗时计费</x:v>
      </x:c>
      <x:c r="H82" s="14" t="n">
        <x:f>0</x:f>
        <x:v>0</x:v>
      </x:c>
      <x:c r="I82" s="11" t="n">
        <x:v>1.8</x:v>
      </x:c>
      <x:c r="J82" s="11" t="n">
        <x:v>1</x:v>
      </x:c>
      <x:c r="K82" s="8" t="str">
        <x:v>B_PISTOL</x:v>
      </x:c>
      <x:c r="L82" s="8" t="str">
        <x:v>A_GAS_DART</x:v>
      </x:c>
      <x:c r="M82" s="8" t="str">
        <x:v>采购价供装备价值对照；随身初始武器本体不逐次收费。</x:v>
      </x:c>
      <x:c r="N82" s="8" t="str">
        <x:v>https://helldivers.wiki.gg/wiki/P-35_Re-Educator</x:v>
      </x:c>
      <x:c r="O82" s="8" t="str">
        <x:v>Wiki背景已核对；价格为MOD标准</x:v>
      </x:c>
      <x:c r="P82" s="8" t="str">
        <x:v>P-35 Re-Educator</x:v>
      </x:c>
      <x:c r="Q82" s="8" t="str">
        <x:v>中文Wiki用名</x:v>
      </x:c>
      <x:c r="R82" s="62" t="str">
        <x:v>六发飞镖手枪，药剂可伤害有机及机械目标并造成混乱。</x:v>
      </x:c>
      <x:c r="S82" s="62" t="str">
        <x:v>保留标准枪械/普通弹成本；射速、容量和联动厂商只影响用量或设备结构，不自动提高每发价。</x:v>
      </x:c>
      <x:c r="T82" s="62" t="str">
        <x:v>Wiki原文已逐页核对 · 2026-10-08</x:v>
      </x:c>
    </x:row>
    <x:row r="83" ht="52" customHeight="1">
      <x:c r="A83" s="2" t="str">
        <x:v>EQ-078</x:v>
      </x:c>
      <x:c r="B83" s="2" t="str">
        <x:v>副武器</x:v>
      </x:c>
      <x:c r="C83" s="2" t="str">
        <x:v>P-33 制导手枪</x:v>
      </x:c>
      <x:c r="D83" s="15" t="n">
        <x:f>ROUND('定价参数'!$D$51*I83,2)</x:f>
        <x:v>1750</x:v>
      </x:c>
      <x:c r="E83" s="2" t="str">
        <x:v>枚</x:v>
      </x:c>
      <x:c r="F83" s="15" t="n">
        <x:f>ROUND('定价参数'!$D$19*J83,2)</x:f>
        <x:v>12000</x:v>
      </x:c>
      <x:c r="G83" s="2" t="str">
        <x:v>消耗时计费</x:v>
      </x:c>
      <x:c r="H83" s="15" t="n">
        <x:f>0</x:f>
        <x:v>0</x:v>
      </x:c>
      <x:c r="I83" s="11" t="n">
        <x:v>0.5</x:v>
      </x:c>
      <x:c r="J83" s="11" t="n">
        <x:v>1</x:v>
      </x:c>
      <x:c r="K83" s="2" t="str">
        <x:v>B_GL_P</x:v>
      </x:c>
      <x:c r="L83" s="2" t="str">
        <x:v>A_GUIDED_S</x:v>
      </x:c>
      <x:c r="M83" s="2" t="str">
        <x:v>采购价供装备价值对照；随身初始武器本体不逐次收费。</x:v>
      </x:c>
      <x:c r="N83" s="2" t="str">
        <x:v>https://helldivers.wiki.gg/wiki/P-33_Missile_Pistol</x:v>
      </x:c>
      <x:c r="O83" s="2" t="str">
        <x:v>Wiki背景已核对；价格为MOD标准</x:v>
      </x:c>
      <x:c r="P83" s="2" t="str">
        <x:v>P-33 Missile Pistol</x:v>
      </x:c>
      <x:c r="Q83" s="2" t="str">
        <x:v>中文Wiki用名</x:v>
      </x:c>
      <x:c r="R83" s="25" t="str">
        <x:v>每发装填的制导推进弹手枪，锁定目标后发射。</x:v>
      </x:c>
      <x:c r="S83" s="25" t="str">
        <x:v>保留标准枪械/普通弹成本；射速、容量和联动厂商只影响用量或设备结构，不自动提高每发价。</x:v>
      </x:c>
      <x:c r="T83" s="25" t="str">
        <x:v>Wiki原文已逐页核对 · 2026-10-08</x:v>
      </x:c>
    </x:row>
    <x:row r="84" ht="52" customHeight="1">
      <x:c r="A84" s="8" t="str">
        <x:v>EQ-079</x:v>
      </x:c>
      <x:c r="B84" s="8" t="str">
        <x:v>副武器</x:v>
      </x:c>
      <x:c r="C84" s="8" t="str">
        <x:v>P/40-K 爆弹手枪</x:v>
      </x:c>
      <x:c r="D84" s="14" t="n">
        <x:f>ROUND('定价参数'!$D$51*I84,2)</x:f>
        <x:v>2450</x:v>
      </x:c>
      <x:c r="E84" s="8" t="str">
        <x:v>发</x:v>
      </x:c>
      <x:c r="F84" s="14" t="n">
        <x:f>ROUND('定价参数'!$D$21*J84,2)</x:f>
        <x:v>18</x:v>
      </x:c>
      <x:c r="G84" s="8" t="str">
        <x:v>消耗时计费</x:v>
      </x:c>
      <x:c r="H84" s="14" t="n">
        <x:f>0</x:f>
        <x:v>0</x:v>
      </x:c>
      <x:c r="I84" s="11" t="n">
        <x:v>0.7</x:v>
      </x:c>
      <x:c r="J84" s="11" t="n">
        <x:v>1.5</x:v>
      </x:c>
      <x:c r="K84" s="8" t="str">
        <x:v>B_GL_P</x:v>
      </x:c>
      <x:c r="L84" s="8" t="str">
        <x:v>A_BOLT</x:v>
      </x:c>
      <x:c r="M84" s="8" t="str">
        <x:v>采购价供装备价值对照；随身初始武器本体不逐次收费。</x:v>
      </x:c>
      <x:c r="N84" s="8" t="str">
        <x:v>https://helldivers.wiki.gg/wiki/P/40-K_Bolt_Pistol</x:v>
      </x:c>
      <x:c r="O84" s="8" t="str">
        <x:v>Wiki背景已核对；价格为MOD标准</x:v>
      </x:c>
      <x:c r="P84" s="8" t="str">
        <x:v>P/40-K Bolt Pistol</x:v>
      </x:c>
      <x:c r="Q84" s="8" t="str">
        <x:v>中文Wiki用名</x:v>
      </x:c>
      <x:c r="R84" s="62" t="str">
        <x:v>ST Construction制造的殖民卫队制式爆弹副武器，口径大、后坐力强。</x:v>
      </x:c>
      <x:c r="S84" s="62" t="str">
        <x:v>采用大口径爆弹结构；整枚含推进与爆炸装药，不重复按命中爆炸收钱。</x:v>
      </x:c>
      <x:c r="T84" s="62" t="str">
        <x:v>Wiki原文已逐页核对 · 2026-10-08</x:v>
      </x:c>
    </x:row>
    <x:row r="85" ht="52" customHeight="1">
      <x:c r="A85" s="2" t="str">
        <x:v>EQ-080</x:v>
      </x:c>
      <x:c r="B85" s="2" t="str">
        <x:v>副武器</x:v>
      </x:c>
      <x:c r="C85" s="2" t="str">
        <x:v>P-34 破障者</x:v>
      </x:c>
      <x:c r="D85" s="15" t="n">
        <x:f>ROUND('定价参数'!$D$51*I85,2)</x:f>
        <x:v>1750</x:v>
      </x:c>
      <x:c r="E85" s="2" t="str">
        <x:v>枚</x:v>
      </x:c>
      <x:c r="F85" s="15" t="n">
        <x:f>ROUND('定价参数'!$D$41*J85,2)</x:f>
        <x:v>1200</x:v>
      </x:c>
      <x:c r="G85" s="2" t="str">
        <x:v>消耗时计费</x:v>
      </x:c>
      <x:c r="H85" s="15" t="n">
        <x:f>0</x:f>
        <x:v>0</x:v>
      </x:c>
      <x:c r="I85" s="11" t="n">
        <x:v>0.5</x:v>
      </x:c>
      <x:c r="J85" s="11" t="n">
        <x:v>10</x:v>
      </x:c>
      <x:c r="K85" s="2" t="str">
        <x:v>B_GL_P</x:v>
      </x:c>
      <x:c r="L85" s="2" t="str">
        <x:v>A_BREACH</x:v>
      </x:c>
      <x:c r="M85" s="2" t="str">
        <x:v>采购价供装备价值对照；随身初始武器本体不逐次收费。</x:v>
      </x:c>
      <x:c r="N85" s="2" t="str">
        <x:v>https://helldivers.wiki.gg/wiki/P-34_Breacher</x:v>
      </x:c>
      <x:c r="O85" s="2" t="str">
        <x:v>Wiki背景已核对；价格为MOD标准</x:v>
      </x:c>
      <x:c r="P85" s="2" t="str">
        <x:v>P-34 Breacher</x:v>
      </x:c>
      <x:c r="Q85" s="2" t="str">
        <x:v>参考译名</x:v>
      </x:c>
      <x:c r="R85" s="25" t="str">
        <x:v>发射粘附弹体，使用磷燃料烧穿外层再爆炸。</x:v>
      </x:c>
      <x:c r="S85" s="25" t="str">
        <x:v>粘附弹体、磷燃料穿透与延迟爆炸构成复合战斗部。</x:v>
      </x:c>
      <x:c r="T85" s="25" t="str">
        <x:v>Wiki原文已逐页核对 · 2026-10-08</x:v>
      </x:c>
    </x:row>
    <x:row r="86" ht="52" customHeight="1">
      <x:c r="A86" s="8" t="str">
        <x:v>EQ-081</x:v>
      </x:c>
      <x:c r="B86" s="8" t="str">
        <x:v>支援武器</x:v>
      </x:c>
      <x:c r="C86" s="8" t="str">
        <x:v>MG-43 机枪</x:v>
      </x:c>
      <x:c r="D86" s="14" t="n">
        <x:f>ROUND('定价参数'!$D$57*I86,2)</x:f>
        <x:v>12000</x:v>
      </x:c>
      <x:c r="E86" s="8" t="str">
        <x:v>发</x:v>
      </x:c>
      <x:c r="F86" s="14" t="n">
        <x:f>ROUND('定价参数'!$D$8*J86,2)</x:f>
        <x:v>2.4</x:v>
      </x:c>
      <x:c r="G86" s="8" t="str">
        <x:v>消耗时计费</x:v>
      </x:c>
      <x:c r="H86" s="14" t="n">
        <x:f>0</x:f>
        <x:v>0</x:v>
      </x:c>
      <x:c r="I86" s="11" t="n">
        <x:v>1</x:v>
      </x:c>
      <x:c r="J86" s="11" t="n">
        <x:v>2</x:v>
      </x:c>
      <x:c r="K86" s="8" t="str">
        <x:v>B_MG</x:v>
      </x:c>
      <x:c r="L86" s="8" t="str">
        <x:v>A_RIFLE_M</x:v>
      </x:c>
      <x:c r="M86" s="8" t="str">
        <x:v>调用记本体和投送费，弹药射出/丢弃时另记；弹药背包属于同一装备。</x:v>
      </x:c>
      <x:c r="N86" s="8" t="str">
        <x:v>https://helldivers.wiki.gg/wiki/MG-43_Machine_Gun</x:v>
      </x:c>
      <x:c r="O86" s="8" t="str">
        <x:v>Wiki背景已核对；价格为MOD标准</x:v>
      </x:c>
      <x:c r="P86" s="8" t="str">
        <x:v>MG-43 Machine Gun</x:v>
      </x:c>
      <x:c r="Q86" s="8" t="str">
        <x:v>中文Wiki用名</x:v>
      </x:c>
      <x:c r="R86" s="62" t="str">
        <x:v>较适合固定位置使用的穿甲机枪，威力与后坐力较高。</x:v>
      </x:c>
      <x:c r="S86" s="62" t="str">
        <x:v>保留大口径或穿甲弹溢价，未按伤害数值直接换算成本；每枚母弹只记一次。</x:v>
      </x:c>
      <x:c r="T86" s="62" t="str">
        <x:v>Wiki原文已逐页核对 · 2026-10-08</x:v>
      </x:c>
    </x:row>
    <x:row r="87" ht="52" customHeight="1">
      <x:c r="A87" s="2" t="str">
        <x:v>EQ-082</x:v>
      </x:c>
      <x:c r="B87" s="2" t="str">
        <x:v>支援武器</x:v>
      </x:c>
      <x:c r="C87" s="2" t="str">
        <x:v>M-105 盟友</x:v>
      </x:c>
      <x:c r="D87" s="15" t="n">
        <x:f>ROUND('定价参数'!$D$57*I87,2)</x:f>
        <x:v>8400</x:v>
      </x:c>
      <x:c r="E87" s="2" t="str">
        <x:v>发</x:v>
      </x:c>
      <x:c r="F87" s="15" t="n">
        <x:f>ROUND('定价参数'!$D$6*J87,2)</x:f>
        <x:v>0.35</x:v>
      </x:c>
      <x:c r="G87" s="2" t="str">
        <x:v>消耗时计费</x:v>
      </x:c>
      <x:c r="H87" s="15" t="n">
        <x:f>0</x:f>
        <x:v>0</x:v>
      </x:c>
      <x:c r="I87" s="11" t="n">
        <x:v>0.7</x:v>
      </x:c>
      <x:c r="J87" s="11" t="n">
        <x:v>1</x:v>
      </x:c>
      <x:c r="K87" s="2" t="str">
        <x:v>B_MG</x:v>
      </x:c>
      <x:c r="L87" s="2" t="str">
        <x:v>A_RIFLE_L</x:v>
      </x:c>
      <x:c r="M87" s="2" t="str">
        <x:v>调用记本体和投送费，弹药射出/丢弃时另记；弹药背包属于同一装备。</x:v>
      </x:c>
      <x:c r="N87" s="2" t="str">
        <x:v>https://helldivers.wiki.gg/wiki/M-105_Stalwart</x:v>
      </x:c>
      <x:c r="O87" s="2" t="str">
        <x:v>Wiki背景已核对；价格为MOD标准</x:v>
      </x:c>
      <x:c r="P87" s="2" t="str">
        <x:v>M-105 Stalwart</x:v>
      </x:c>
      <x:c r="Q87" s="2" t="str">
        <x:v>中文Wiki用名</x:v>
      </x:c>
      <x:c r="R87" s="25" t="str">
        <x:v>紧凑小口径机枪，着重机动性与快速换弹。</x:v>
      </x:c>
      <x:c r="S87" s="25" t="str">
        <x:v>保留标准枪械/普通弹成本；射速、容量和联动厂商只影响用量或设备结构，不自动提高每发价。</x:v>
      </x:c>
      <x:c r="T87" s="25" t="str">
        <x:v>Wiki原文已逐页核对 · 2026-10-08</x:v>
      </x:c>
    </x:row>
    <x:row r="88" ht="52" customHeight="1">
      <x:c r="A88" s="8" t="str">
        <x:v>EQ-083</x:v>
      </x:c>
      <x:c r="B88" s="8" t="str">
        <x:v>支援武器</x:v>
      </x:c>
      <x:c r="C88" s="8" t="str">
        <x:v>APW-1 反器材步枪</x:v>
      </x:c>
      <x:c r="D88" s="14" t="n">
        <x:f>ROUND('定价参数'!$D$59*I88,2)</x:f>
        <x:v>15000</x:v>
      </x:c>
      <x:c r="E88" s="8" t="str">
        <x:v>发</x:v>
      </x:c>
      <x:c r="F88" s="14" t="n">
        <x:f>ROUND('定价参数'!$D$12*J88,2)</x:f>
        <x:v>15</x:v>
      </x:c>
      <x:c r="G88" s="8" t="str">
        <x:v>消耗时计费</x:v>
      </x:c>
      <x:c r="H88" s="14" t="n">
        <x:f>0</x:f>
        <x:v>0</x:v>
      </x:c>
      <x:c r="I88" s="11" t="n">
        <x:v>1</x:v>
      </x:c>
      <x:c r="J88" s="11" t="n">
        <x:v>1</x:v>
      </x:c>
      <x:c r="K88" s="8" t="str">
        <x:v>B_AMR</x:v>
      </x:c>
      <x:c r="L88" s="8" t="str">
        <x:v>A_AMR</x:v>
      </x:c>
      <x:c r="M88" s="8" t="str">
        <x:v>调用记本体和投送费，弹药射出/丢弃时另记；弹药背包属于同一装备。</x:v>
      </x:c>
      <x:c r="N88" s="8" t="str">
        <x:v>https://helldivers.wiki.gg/wiki/APW-1_Anti-Materiel_Rifle</x:v>
      </x:c>
      <x:c r="O88" s="8" t="str">
        <x:v>Wiki背景已核对；价格为MOD标准</x:v>
      </x:c>
      <x:c r="P88" s="8" t="str">
        <x:v>APW-1 Anti-Materiel Rifle</x:v>
      </x:c>
      <x:c r="Q88" s="8" t="str">
        <x:v>中文Wiki用名</x:v>
      </x:c>
      <x:c r="R88" s="62" t="str">
        <x:v>用于远距离打击轻型载具装甲的大口径狙击步枪。</x:v>
      </x:c>
      <x:c r="S88" s="62" t="str">
        <x:v>保留大口径或穿甲弹溢价，未按伤害数值直接换算成本；每枚母弹只记一次。</x:v>
      </x:c>
      <x:c r="T88" s="62" t="str">
        <x:v>Wiki原文已逐页核对 · 2026-10-08</x:v>
      </x:c>
    </x:row>
    <x:row r="89" ht="52" customHeight="1">
      <x:c r="A89" s="2" t="str">
        <x:v>EQ-084</x:v>
      </x:c>
      <x:c r="B89" s="2" t="str">
        <x:v>支援武器</x:v>
      </x:c>
      <x:c r="C89" s="2" t="str">
        <x:v>EAT-17 消耗性反坦克武器</x:v>
      </x:c>
      <x:c r="D89" s="15" t="n">
        <x:f>ROUND('定价参数'!$D$61*I89,2)</x:f>
        <x:v>200</x:v>
      </x:c>
      <x:c r="E89" s="2" t="str">
        <x:v>发</x:v>
      </x:c>
      <x:c r="F89" s="15" t="n">
        <x:f>ROUND('定价参数'!$D$16*J89,2)</x:f>
        <x:v>3500</x:v>
      </x:c>
      <x:c r="G89" s="2" t="str">
        <x:v>弹药已含调用价</x:v>
      </x:c>
      <x:c r="H89" s="15" t="n">
        <x:f>0</x:f>
        <x:v>0</x:v>
      </x:c>
      <x:c r="I89" s="11" t="n">
        <x:v>1</x:v>
      </x:c>
      <x:c r="J89" s="11" t="n">
        <x:v>1</x:v>
      </x:c>
      <x:c r="K89" s="2" t="str">
        <x:v>B_DISP</x:v>
      </x:c>
      <x:c r="L89" s="2" t="str">
        <x:v>A_ROCKET</x:v>
      </x:c>
      <x:c r="M89" s="2" t="str">
        <x:v>一次性装备按整包交付计费；射击显示成本分解，不再加到总额。</x:v>
      </x:c>
      <x:c r="N89" s="2" t="str">
        <x:v>https://helldivers.wiki.gg/wiki/EAT-17_Expendable_Anti-Tank</x:v>
      </x:c>
      <x:c r="O89" s="2" t="str">
        <x:v>Wiki背景已核对；价格为MOD标准</x:v>
      </x:c>
      <x:c r="P89" s="2" t="str">
        <x:v>EAT-17 Expendable Anti-Tank</x:v>
      </x:c>
      <x:c r="Q89" s="2" t="str">
        <x:v>中文Wiki用名</x:v>
      </x:c>
      <x:c r="R89" s="25" t="str">
        <x:v>单发一次性反坦克发射器，每次投送两具。</x:v>
      </x:c>
      <x:c r="S89" s="25" t="str">
        <x:v>一次性发射器与全部随投送弹药包干；不在实际发射时重复收弹费。</x:v>
      </x:c>
      <x:c r="T89" s="25" t="str">
        <x:v>Wiki原文已逐页核对 · 2026-10-08</x:v>
      </x:c>
    </x:row>
    <x:row r="90" ht="52" customHeight="1">
      <x:c r="A90" s="8" t="str">
        <x:v>EQ-085</x:v>
      </x:c>
      <x:c r="B90" s="8" t="str">
        <x:v>支援武器</x:v>
      </x:c>
      <x:c r="C90" s="8" t="str">
        <x:v>GR-8 无后坐力炮</x:v>
      </x:c>
      <x:c r="D90" s="14" t="n">
        <x:f>ROUND('定价参数'!$D$60*I90,2)</x:f>
        <x:v>25000</x:v>
      </x:c>
      <x:c r="E90" s="8" t="str">
        <x:v>发</x:v>
      </x:c>
      <x:c r="F90" s="14" t="n">
        <x:f>ROUND('定价参数'!$D$16*J90,2)</x:f>
        <x:v>3500</x:v>
      </x:c>
      <x:c r="G90" s="8" t="str">
        <x:v>消耗时计费</x:v>
      </x:c>
      <x:c r="H90" s="14" t="n">
        <x:f>0</x:f>
        <x:v>0</x:v>
      </x:c>
      <x:c r="I90" s="11" t="n">
        <x:v>1</x:v>
      </x:c>
      <x:c r="J90" s="11" t="n">
        <x:v>1</x:v>
      </x:c>
      <x:c r="K90" s="8" t="str">
        <x:v>B_RL</x:v>
      </x:c>
      <x:c r="L90" s="8" t="str">
        <x:v>A_ROCKET</x:v>
      </x:c>
      <x:c r="M90" s="8" t="str">
        <x:v>调用记本体和投送费，弹药射出/丢弃时另记；弹药背包属于同一装备。可切换弹种另列参考单价。</x:v>
      </x:c>
      <x:c r="N90" s="8" t="str">
        <x:v>https://helldivers.wiki.gg/wiki/GR-8_Recoilless_Rifle</x:v>
      </x:c>
      <x:c r="O90" s="8" t="str">
        <x:v>Wiki背景已核对；价格为MOD标准</x:v>
      </x:c>
      <x:c r="P90" s="8" t="str">
        <x:v>GR-8 Recoilless Rifle</x:v>
      </x:c>
      <x:c r="Q90" s="8" t="str">
        <x:v>中文Wiki用名</x:v>
      </x:c>
      <x:c r="R90" s="62" t="str">
        <x:v>可重复装填的反装甲无后坐力炮，带配套弹药背包与可切换高爆弹。</x:v>
      </x:c>
      <x:c r="S90" s="62" t="str">
        <x:v>保留标准枪械/普通弹成本；射速、容量和联动厂商只影响用量或设备结构，不自动提高每发价。</x:v>
      </x:c>
      <x:c r="T90" s="62" t="str">
        <x:v>Wiki原文已逐页核对 · 2026-10-08</x:v>
      </x:c>
    </x:row>
    <x:row r="91" ht="52" customHeight="1">
      <x:c r="A91" s="2" t="str">
        <x:v>EQ-086</x:v>
      </x:c>
      <x:c r="B91" s="2" t="str">
        <x:v>支援武器</x:v>
      </x:c>
      <x:c r="C91" s="2" t="str">
        <x:v>FLAM-40 火焰喷射器</x:v>
      </x:c>
      <x:c r="D91" s="15" t="n">
        <x:f>ROUND('定价参数'!$D$63*I91,2)</x:f>
        <x:v>5000</x:v>
      </x:c>
      <x:c r="E91" s="2" t="str">
        <x:v>显示单位</x:v>
      </x:c>
      <x:c r="F91" s="15" t="n">
        <x:f>ROUND('定价参数'!$D$25*J91,2)</x:f>
        <x:v>0.3</x:v>
      </x:c>
      <x:c r="G91" s="2" t="str">
        <x:v>消耗时计费</x:v>
      </x:c>
      <x:c r="H91" s="15" t="n">
        <x:f>0</x:f>
        <x:v>0</x:v>
      </x:c>
      <x:c r="I91" s="11" t="n">
        <x:v>1</x:v>
      </x:c>
      <x:c r="J91" s="11" t="n">
        <x:v>1</x:v>
      </x:c>
      <x:c r="K91" s="2" t="str">
        <x:v>B_FLAM_S</x:v>
      </x:c>
      <x:c r="L91" s="2" t="str">
        <x:v>A_FUEL</x:v>
      </x:c>
      <x:c r="M91" s="2" t="str">
        <x:v>调用记本体和投送费，弹药射出/丢弃时另记；弹药背包属于同一装备。介质按游戏显示单位，不等同毫升/升。</x:v>
      </x:c>
      <x:c r="N91" s="2" t="str">
        <x:v>https://helldivers.wiki.gg/wiki/FLAM-40_Flamethrower</x:v>
      </x:c>
      <x:c r="O91" s="2" t="str">
        <x:v>Wiki背景已核对；价格为MOD标准</x:v>
      </x:c>
      <x:c r="P91" s="2" t="str">
        <x:v>FLAM-40 Flamethrower</x:v>
      </x:c>
      <x:c r="Q91" s="2" t="str">
        <x:v>中文Wiki用名</x:v>
      </x:c>
      <x:c r="R91" s="25" t="str">
        <x:v>短距离火焰武器，可点燃目标与地面。</x:v>
      </x:c>
      <x:c r="S91" s="25" t="str">
        <x:v>按专用燃料、药剂或装药计价，设备与耗材分开；现有基价与对应构造相符。</x:v>
      </x:c>
      <x:c r="T91" s="25" t="str">
        <x:v>Wiki原文已逐页核对 · 2026-10-08</x:v>
      </x:c>
    </x:row>
    <x:row r="92" ht="52" customHeight="1">
      <x:c r="A92" s="8" t="str">
        <x:v>EQ-087</x:v>
      </x:c>
      <x:c r="B92" s="8" t="str">
        <x:v>支援武器</x:v>
      </x:c>
      <x:c r="C92" s="8" t="str">
        <x:v>AC-8 机炮</x:v>
      </x:c>
      <x:c r="D92" s="14" t="n">
        <x:f>ROUND('定价参数'!$D$64*I92,2)</x:f>
        <x:v>30000</x:v>
      </x:c>
      <x:c r="E92" s="8" t="str">
        <x:v>发</x:v>
      </x:c>
      <x:c r="F92" s="14" t="n">
        <x:f>ROUND('定价参数'!$D$15*J92,2)</x:f>
        <x:v>120</x:v>
      </x:c>
      <x:c r="G92" s="8" t="str">
        <x:v>消耗时计费</x:v>
      </x:c>
      <x:c r="H92" s="14" t="n">
        <x:f>0</x:f>
        <x:v>0</x:v>
      </x:c>
      <x:c r="I92" s="11" t="n">
        <x:v>1</x:v>
      </x:c>
      <x:c r="J92" s="11" t="n">
        <x:v>1</x:v>
      </x:c>
      <x:c r="K92" s="8" t="str">
        <x:v>B_AC</x:v>
      </x:c>
      <x:c r="L92" s="8" t="str">
        <x:v>A_AUTOCANNON</x:v>
      </x:c>
      <x:c r="M92" s="8" t="str">
        <x:v>调用记本体和投送费，弹药射出/丢弃时另记；弹药背包属于同一装备。可切换弹种另列参考单价。</x:v>
      </x:c>
      <x:c r="N92" s="8" t="str">
        <x:v>https://helldivers.wiki.gg/wiki/AC-8_Autocannon</x:v>
      </x:c>
      <x:c r="O92" s="8" t="str">
        <x:v>Wiki背景已核对；价格为MOD标准</x:v>
      </x:c>
      <x:c r="P92" s="8" t="str">
        <x:v>AC-8 Autocannon</x:v>
      </x:c>
      <x:c r="Q92" s="8" t="str">
        <x:v>中文Wiki用名</x:v>
      </x:c>
      <x:c r="R92" s="62" t="str">
        <x:v>可装填机炮及配套背包；可切换穿甲高爆弹与近炸弹。</x:v>
      </x:c>
      <x:c r="S92" s="62" t="str">
        <x:v>保留大口径或穿甲弹溢价，未按伤害数值直接换算成本；每枚母弹只记一次。</x:v>
      </x:c>
      <x:c r="T92" s="62" t="str">
        <x:v>Wiki原文已逐页核对 · 2026-10-08</x:v>
      </x:c>
    </x:row>
    <x:row r="93" ht="52" customHeight="1">
      <x:c r="A93" s="2" t="str">
        <x:v>EQ-088</x:v>
      </x:c>
      <x:c r="B93" s="2" t="str">
        <x:v>支援武器</x:v>
      </x:c>
      <x:c r="C93" s="2" t="str">
        <x:v>MG-206 重机枪</x:v>
      </x:c>
      <x:c r="D93" s="15" t="n">
        <x:f>ROUND('定价参数'!$D$58*I93,2)</x:f>
        <x:v>20000</x:v>
      </x:c>
      <x:c r="E93" s="2" t="str">
        <x:v>发</x:v>
      </x:c>
      <x:c r="F93" s="15" t="n">
        <x:f>ROUND('定价参数'!$D$12*J93,2)</x:f>
        <x:v>6</x:v>
      </x:c>
      <x:c r="G93" s="2" t="str">
        <x:v>消耗时计费</x:v>
      </x:c>
      <x:c r="H93" s="15" t="n">
        <x:f>0</x:f>
        <x:v>0</x:v>
      </x:c>
      <x:c r="I93" s="11" t="n">
        <x:v>1</x:v>
      </x:c>
      <x:c r="J93" s="11" t="n">
        <x:v>0.4</x:v>
      </x:c>
      <x:c r="K93" s="2" t="str">
        <x:v>B_HMG</x:v>
      </x:c>
      <x:c r="L93" s="2" t="str">
        <x:v>A_AMR</x:v>
      </x:c>
      <x:c r="M93" s="2" t="str">
        <x:v>调用记本体和投送费，弹药射出/丢弃时另记；弹药背包属于同一装备。</x:v>
      </x:c>
      <x:c r="N93" s="2" t="str">
        <x:v>https://helldivers.wiki.gg/wiki/MG-206_Heavy_Machine_Gun</x:v>
      </x:c>
      <x:c r="O93" s="2" t="str">
        <x:v>Wiki背景已核对；价格为MOD标准</x:v>
      </x:c>
      <x:c r="P93" s="2" t="str">
        <x:v>MG-206 Heavy Machine Gun</x:v>
      </x:c>
      <x:c r="Q93" s="2" t="str">
        <x:v>中文Wiki用名</x:v>
      </x:c>
      <x:c r="R93" s="25" t="str">
        <x:v>后坐力强的大威力重机枪，使用重型穿甲弹。</x:v>
      </x:c>
      <x:c r="S93" s="25" t="str">
        <x:v>保留大口径或穿甲弹溢价，未按伤害数值直接换算成本；每枚母弹只记一次。</x:v>
      </x:c>
      <x:c r="T93" s="25" t="str">
        <x:v>Wiki原文已逐页核对 · 2026-10-08</x:v>
      </x:c>
    </x:row>
    <x:row r="94" ht="52" customHeight="1">
      <x:c r="A94" s="8" t="str">
        <x:v>EQ-089</x:v>
      </x:c>
      <x:c r="B94" s="8" t="str">
        <x:v>支援武器</x:v>
      </x:c>
      <x:c r="C94" s="8" t="str">
        <x:v>MLS-4X 突击兵</x:v>
      </x:c>
      <x:c r="D94" s="14" t="n">
        <x:f>ROUND('定价参数'!$D$61*I94,2)</x:f>
        <x:v>400</x:v>
      </x:c>
      <x:c r="E94" s="8" t="str">
        <x:v>发</x:v>
      </x:c>
      <x:c r="F94" s="14" t="n">
        <x:f>ROUND('定价参数'!$D$19*J94,2)</x:f>
        <x:v>6000</x:v>
      </x:c>
      <x:c r="G94" s="8" t="str">
        <x:v>弹药已含调用价</x:v>
      </x:c>
      <x:c r="H94" s="14" t="n">
        <x:f>0</x:f>
        <x:v>0</x:v>
      </x:c>
      <x:c r="I94" s="11" t="n">
        <x:v>2</x:v>
      </x:c>
      <x:c r="J94" s="11" t="n">
        <x:v>0.5</x:v>
      </x:c>
      <x:c r="K94" s="8" t="str">
        <x:v>B_DISP</x:v>
      </x:c>
      <x:c r="L94" s="8" t="str">
        <x:v>A_GUIDED_S</x:v>
      </x:c>
      <x:c r="M94" s="8" t="str">
        <x:v>一次性装备按整包交付计费；射击显示成本分解，不再加到总额。</x:v>
      </x:c>
      <x:c r="N94" s="8" t="str">
        <x:v>https://helldivers.wiki.gg/wiki/MLS-4X_Commando</x:v>
      </x:c>
      <x:c r="O94" s="8" t="str">
        <x:v>Wiki背景已核对；价格为MOD标准</x:v>
      </x:c>
      <x:c r="P94" s="8" t="str">
        <x:v>MLS-4X Commando</x:v>
      </x:c>
      <x:c r="Q94" s="8" t="str">
        <x:v>中文Wiki用名</x:v>
      </x:c>
      <x:c r="R94" s="62" t="str">
        <x:v>一次性四联装激光制导导弹发射器。</x:v>
      </x:c>
      <x:c r="S94" s="62" t="str">
        <x:v>维持设备本体较贵、供能耗材较低的成本结构；功能和耗材类型已逐件核对，发射次数/秒数与更换散热器分别计费。</x:v>
      </x:c>
      <x:c r="T94" s="62" t="str">
        <x:v>Wiki原文已逐页核对 · 2026-10-08</x:v>
      </x:c>
    </x:row>
    <x:row r="95" ht="52" customHeight="1">
      <x:c r="A95" s="2" t="str">
        <x:v>EQ-090</x:v>
      </x:c>
      <x:c r="B95" s="2" t="str">
        <x:v>支援武器</x:v>
      </x:c>
      <x:c r="C95" s="2" t="str">
        <x:v>RL-77 空爆火箭弹发射器</x:v>
      </x:c>
      <x:c r="D95" s="15" t="n">
        <x:f>ROUND('定价参数'!$D$60*I95,2)</x:f>
        <x:v>25000</x:v>
      </x:c>
      <x:c r="E95" s="2" t="str">
        <x:v>发</x:v>
      </x:c>
      <x:c r="F95" s="15" t="n">
        <x:f>ROUND('定价参数'!$D$17*J95,2)</x:f>
        <x:v>6500</x:v>
      </x:c>
      <x:c r="G95" s="2" t="str">
        <x:v>消耗时计费</x:v>
      </x:c>
      <x:c r="H95" s="15" t="n">
        <x:f>0</x:f>
        <x:v>0</x:v>
      </x:c>
      <x:c r="I95" s="11" t="n">
        <x:v>1</x:v>
      </x:c>
      <x:c r="J95" s="11" t="n">
        <x:v>1</x:v>
      </x:c>
      <x:c r="K95" s="2" t="str">
        <x:v>B_RL</x:v>
      </x:c>
      <x:c r="L95" s="2" t="str">
        <x:v>A_AIRBURST</x:v>
      </x:c>
      <x:c r="M95" s="2" t="str">
        <x:v>调用记本体和投送费，弹药射出/丢弃时另记；弹药背包属于同一装备。</x:v>
      </x:c>
      <x:c r="N95" s="2" t="str">
        <x:v>https://helldivers.wiki.gg/wiki/RL-77_Airburst_Rocket_Launcher</x:v>
      </x:c>
      <x:c r="O95" s="2" t="str">
        <x:v>Wiki背景已核对；价格为MOD标准</x:v>
      </x:c>
      <x:c r="P95" s="2" t="str">
        <x:v>RL-77 Airburst Rocket Launcher</x:v>
      </x:c>
      <x:c r="Q95" s="2" t="str">
        <x:v>中文Wiki用名</x:v>
      </x:c>
      <x:c r="R95" s="25" t="str">
        <x:v>近炸火箭释放集束子弹药，适合轻中型目标群。</x:v>
      </x:c>
      <x:c r="S95" s="25" t="str">
        <x:v>保留标准枪械/普通弹成本；射速、容量和联动厂商只影响用量或设备结构，不自动提高每发价。</x:v>
      </x:c>
      <x:c r="T95" s="25" t="str">
        <x:v>Wiki原文已逐页核对 · 2026-10-08</x:v>
      </x:c>
    </x:row>
    <x:row r="96" ht="52" customHeight="1">
      <x:c r="A96" s="8" t="str">
        <x:v>EQ-091</x:v>
      </x:c>
      <x:c r="B96" s="8" t="str">
        <x:v>支援武器</x:v>
      </x:c>
      <x:c r="C96" s="8" t="str">
        <x:v>FAF-14 飞矛</x:v>
      </x:c>
      <x:c r="D96" s="14" t="n">
        <x:f>ROUND('定价参数'!$D$62*I96,2)</x:f>
        <x:v>50000</x:v>
      </x:c>
      <x:c r="E96" s="8" t="str">
        <x:v>发</x:v>
      </x:c>
      <x:c r="F96" s="14" t="n">
        <x:f>ROUND('定价参数'!$D$18*J96,2)</x:f>
        <x:v>150000</x:v>
      </x:c>
      <x:c r="G96" s="8" t="str">
        <x:v>消耗时计费</x:v>
      </x:c>
      <x:c r="H96" s="14" t="n">
        <x:f>0</x:f>
        <x:v>0</x:v>
      </x:c>
      <x:c r="I96" s="11" t="n">
        <x:v>1</x:v>
      </x:c>
      <x:c r="J96" s="11" t="n">
        <x:v>1</x:v>
      </x:c>
      <x:c r="K96" s="8" t="str">
        <x:v>B_GUIDED</x:v>
      </x:c>
      <x:c r="L96" s="8" t="str">
        <x:v>A_GUIDED</x:v>
      </x:c>
      <x:c r="M96" s="8" t="str">
        <x:v>调用记本体和投送费，弹药射出/丢弃时另记；弹药背包属于同一装备。</x:v>
      </x:c>
      <x:c r="N96" s="8" t="str">
        <x:v>https://helldivers.wiki.gg/wiki/FAF-14_Spear</x:v>
      </x:c>
      <x:c r="O96" s="8" t="str">
        <x:v>Wiki背景已核对；价格为MOD标准</x:v>
      </x:c>
      <x:c r="P96" s="8" t="str">
        <x:v>FAF-14 Spear</x:v>
      </x:c>
      <x:c r="Q96" s="8" t="str">
        <x:v>中文Wiki用名</x:v>
      </x:c>
      <x:c r="R96" s="62" t="str">
        <x:v>需先锁定目标的重型反坦克寻的导弹系统。</x:v>
      </x:c>
      <x:c r="S96" s="62" t="str">
        <x:v>保留大口径或穿甲弹溢价，未按伤害数值直接换算成本；每枚母弹只记一次。</x:v>
      </x:c>
      <x:c r="T96" s="62" t="str">
        <x:v>Wiki原文已逐页核对 · 2026-10-08</x:v>
      </x:c>
    </x:row>
    <x:row r="97" ht="52" customHeight="1">
      <x:c r="A97" s="2" t="str">
        <x:v>EQ-092</x:v>
      </x:c>
      <x:c r="B97" s="2" t="str">
        <x:v>支援武器</x:v>
      </x:c>
      <x:c r="C97" s="2" t="str">
        <x:v>RS-422 磁轨炮</x:v>
      </x:c>
      <x:c r="D97" s="15" t="n">
        <x:f>ROUND('定价参数'!$D$65*I97,2)</x:f>
        <x:v>60000</x:v>
      </x:c>
      <x:c r="E97" s="2" t="str">
        <x:v>发</x:v>
      </x:c>
      <x:c r="F97" s="15" t="n">
        <x:f>ROUND('定价参数'!$D$20*J97,2)</x:f>
        <x:v>100</x:v>
      </x:c>
      <x:c r="G97" s="2" t="str">
        <x:v>消耗时计费</x:v>
      </x:c>
      <x:c r="H97" s="15" t="n">
        <x:f>0</x:f>
        <x:v>0</x:v>
      </x:c>
      <x:c r="I97" s="11" t="n">
        <x:v>1</x:v>
      </x:c>
      <x:c r="J97" s="11" t="n">
        <x:v>1</x:v>
      </x:c>
      <x:c r="K97" s="2" t="str">
        <x:v>B_RAIL</x:v>
      </x:c>
      <x:c r="L97" s="2" t="str">
        <x:v>A_RAIL</x:v>
      </x:c>
      <x:c r="M97" s="2" t="str">
        <x:v>调用记本体和投送费，弹药射出/丢弃时另记；弹药背包属于同一装备。</x:v>
      </x:c>
      <x:c r="N97" s="2" t="str">
        <x:v>https://helldivers.wiki.gg/wiki/RS-422_Railgun</x:v>
      </x:c>
      <x:c r="O97" s="2" t="str">
        <x:v>Wiki背景已核对；价格为MOD标准</x:v>
      </x:c>
      <x:c r="P97" s="2" t="str">
        <x:v>RS-422 Railgun</x:v>
      </x:c>
      <x:c r="Q97" s="2" t="str">
        <x:v>中文Wiki用名</x:v>
      </x:c>
      <x:c r="R97" s="25" t="str">
        <x:v>实验性蓄力电磁武器，优先强化穿甲能力。</x:v>
      </x:c>
      <x:c r="S97" s="25" t="str">
        <x:v>维持设备本体较贵、供能耗材较低的成本结构；功能和耗材类型已逐件核对，发射次数/秒数与更换散热器分别计费。</x:v>
      </x:c>
      <x:c r="T97" s="25" t="str">
        <x:v>Wiki原文已逐页核对 · 2026-10-08</x:v>
      </x:c>
    </x:row>
    <x:row r="98" ht="52" customHeight="1">
      <x:c r="A98" s="8" t="str">
        <x:v>EQ-093</x:v>
      </x:c>
      <x:c r="B98" s="8" t="str">
        <x:v>支援武器</x:v>
      </x:c>
      <x:c r="C98" s="8" t="str">
        <x:v>StA-X3 W.A.S.P.发射器</x:v>
      </x:c>
      <x:c r="D98" s="14" t="n">
        <x:f>ROUND('定价参数'!$D$62*I98,2)</x:f>
        <x:v>35000</x:v>
      </x:c>
      <x:c r="E98" s="8" t="str">
        <x:v>发</x:v>
      </x:c>
      <x:c r="F98" s="14" t="n">
        <x:f>ROUND('定价参数'!$D$19*J98,2)</x:f>
        <x:v>12000</x:v>
      </x:c>
      <x:c r="G98" s="8" t="str">
        <x:v>消耗时计费</x:v>
      </x:c>
      <x:c r="H98" s="14" t="n">
        <x:f>0</x:f>
        <x:v>0</x:v>
      </x:c>
      <x:c r="I98" s="11" t="n">
        <x:v>0.7</x:v>
      </x:c>
      <x:c r="J98" s="11" t="n">
        <x:v>1</x:v>
      </x:c>
      <x:c r="K98" s="8" t="str">
        <x:v>B_GUIDED</x:v>
      </x:c>
      <x:c r="L98" s="8" t="str">
        <x:v>A_GUIDED_S</x:v>
      </x:c>
      <x:c r="M98" s="8" t="str">
        <x:v>调用记本体和投送费，弹药射出/丢弃时另记；弹药背包属于同一装备。</x:v>
      </x:c>
      <x:c r="N98" s="8" t="str">
        <x:v>https://helldivers.wiki.gg/wiki/StA-X3_W.A.S.P._Launcher</x:v>
      </x:c>
      <x:c r="O98" s="8" t="str">
        <x:v>Wiki背景已核对；价格为MOD标准</x:v>
      </x:c>
      <x:c r="P98" s="8" t="str">
        <x:v>StA-X3 W.A.S.P. Launcher</x:v>
      </x:c>
      <x:c r="Q98" s="8" t="str">
        <x:v>中文Wiki用名</x:v>
      </x:c>
      <x:c r="R98" s="62" t="str">
        <x:v>七发寻的微型导弹发射器，可直接攻击或空爆，附配套背包。</x:v>
      </x:c>
      <x:c r="S98" s="62" t="str">
        <x:v>保留标准枪械/普通弹成本；射速、容量和联动厂商只影响用量或设备结构，不自动提高每发价。</x:v>
      </x:c>
      <x:c r="T98" s="62" t="str">
        <x:v>Wiki原文已逐页核对 · 2026-10-08</x:v>
      </x:c>
    </x:row>
    <x:row r="99" ht="52" customHeight="1">
      <x:c r="A99" s="2" t="str">
        <x:v>EQ-094</x:v>
      </x:c>
      <x:c r="B99" s="2" t="str">
        <x:v>支援武器</x:v>
      </x:c>
      <x:c r="C99" s="2" t="str">
        <x:v>LAS-98 激光大炮</x:v>
      </x:c>
      <x:c r="D99" s="15" t="n">
        <x:f>ROUND('定价参数'!$D$67*I99,2)</x:f>
        <x:v>60000</x:v>
      </x:c>
      <x:c r="E99" s="2" t="str">
        <x:v>秒</x:v>
      </x:c>
      <x:c r="F99" s="15" t="n">
        <x:f>ROUND('定价参数'!$D$29*J99,2)</x:f>
        <x:v>0.2</x:v>
      </x:c>
      <x:c r="G99" s="2" t="str">
        <x:v>消耗时计费</x:v>
      </x:c>
      <x:c r="H99" s="15" t="n">
        <x:f>'定价参数'!$D$45</x:f>
        <x:v>300</x:v>
      </x:c>
      <x:c r="I99" s="11" t="n">
        <x:v>1</x:v>
      </x:c>
      <x:c r="J99" s="11" t="n">
        <x:v>1</x:v>
      </x:c>
      <x:c r="K99" s="2" t="str">
        <x:v>B_LAS_S</x:v>
      </x:c>
      <x:c r="L99" s="2" t="str">
        <x:v>A_LASER_H</x:v>
      </x:c>
      <x:c r="M99" s="2" t="str">
        <x:v>调用记本体和投送费，弹药射出/丢弃时另记；弹药背包属于同一装备。更换散热器按件另计，时间不是弹匣弹数。</x:v>
      </x:c>
      <x:c r="N99" s="2" t="str">
        <x:v>https://helldivers.wiki.gg/wiki/LAS-98_Laser_Cannon</x:v>
      </x:c>
      <x:c r="O99" s="2" t="str">
        <x:v>Wiki背景已核对；价格为MOD标准</x:v>
      </x:c>
      <x:c r="P99" s="2" t="str">
        <x:v>LAS-98 Laser Cannon</x:v>
      </x:c>
      <x:c r="Q99" s="2" t="str">
        <x:v>中文Wiki用名</x:v>
      </x:c>
      <x:c r="R99" s="25" t="str">
        <x:v>持续激光光束武器，过热后需要更换散热器。</x:v>
      </x:c>
      <x:c r="S99" s="25" t="str">
        <x:v>维持设备本体较贵、供能耗材较低的成本结构；功能和耗材类型已逐件核对，发射次数/秒数与更换散热器分别计费。</x:v>
      </x:c>
      <x:c r="T99" s="25" t="str">
        <x:v>Wiki原文已逐页核对 · 2026-10-08</x:v>
      </x:c>
    </x:row>
    <x:row r="100" ht="52" customHeight="1">
      <x:c r="A100" s="8" t="str">
        <x:v>EQ-095</x:v>
      </x:c>
      <x:c r="B100" s="8" t="str">
        <x:v>支援武器</x:v>
      </x:c>
      <x:c r="C100" s="8" t="str">
        <x:v>GL-21 榴弹发射器</x:v>
      </x:c>
      <x:c r="D100" s="14" t="n">
        <x:f>ROUND('定价参数'!$D$66*I100,2)</x:f>
        <x:v>12000</x:v>
      </x:c>
      <x:c r="E100" s="8" t="str">
        <x:v>发</x:v>
      </x:c>
      <x:c r="F100" s="14" t="n">
        <x:f>ROUND('定价参数'!$D$13*J100,2)</x:f>
        <x:v>80</x:v>
      </x:c>
      <x:c r="G100" s="8" t="str">
        <x:v>消耗时计费</x:v>
      </x:c>
      <x:c r="H100" s="14" t="n">
        <x:f>0</x:f>
        <x:v>0</x:v>
      </x:c>
      <x:c r="I100" s="11" t="n">
        <x:v>1</x:v>
      </x:c>
      <x:c r="J100" s="11" t="n">
        <x:v>1</x:v>
      </x:c>
      <x:c r="K100" s="8" t="str">
        <x:v>B_GL</x:v>
      </x:c>
      <x:c r="L100" s="8" t="str">
        <x:v>A_GRENADE</x:v>
      </x:c>
      <x:c r="M100" s="8" t="str">
        <x:v>调用记本体和投送费，弹药射出/丢弃时另记；弹药背包属于同一装备。</x:v>
      </x:c>
      <x:c r="N100" s="8" t="str">
        <x:v>https://helldivers.wiki.gg/wiki/GL-21_Grenade_Launcher</x:v>
      </x:c>
      <x:c r="O100" s="8" t="str">
        <x:v>Wiki背景已核对；价格为MOD标准</x:v>
      </x:c>
      <x:c r="P100" s="8" t="str">
        <x:v>GL-21 Grenade Launcher</x:v>
      </x:c>
      <x:c r="Q100" s="8" t="str">
        <x:v>中文Wiki用名</x:v>
      </x:c>
      <x:c r="R100" s="62" t="str">
        <x:v>对付装甲步兵的榴弹发射器，非专用反坦克武器。</x:v>
      </x:c>
      <x:c r="S100" s="62" t="str">
        <x:v>保留标准枪械/普通弹成本；射速、容量和联动厂商只影响用量或设备结构，不自动提高每发价。</x:v>
      </x:c>
      <x:c r="T100" s="62" t="str">
        <x:v>Wiki原文已逐页核对 · 2026-10-08</x:v>
      </x:c>
    </x:row>
    <x:row r="101" ht="52" customHeight="1">
      <x:c r="A101" s="2" t="str">
        <x:v>EQ-096</x:v>
      </x:c>
      <x:c r="B101" s="2" t="str">
        <x:v>支援武器</x:v>
      </x:c>
      <x:c r="C101" s="2" t="str">
        <x:v>ARC-3 电弧发射器</x:v>
      </x:c>
      <x:c r="D101" s="15" t="n">
        <x:f>ROUND('定价参数'!$D$68*I101,2)</x:f>
        <x:v>30000</x:v>
      </x:c>
      <x:c r="E101" s="2" t="str">
        <x:v>次</x:v>
      </x:c>
      <x:c r="F101" s="15" t="n">
        <x:f>ROUND('定价参数'!$D$31*J101,2)</x:f>
        <x:v>0.2</x:v>
      </x:c>
      <x:c r="G101" s="2" t="str">
        <x:v>消耗时计费</x:v>
      </x:c>
      <x:c r="H101" s="15" t="n">
        <x:f>0</x:f>
        <x:v>0</x:v>
      </x:c>
      <x:c r="I101" s="11" t="n">
        <x:v>1</x:v>
      </x:c>
      <x:c r="J101" s="11" t="n">
        <x:v>1</x:v>
      </x:c>
      <x:c r="K101" s="2" t="str">
        <x:v>B_ARC_S</x:v>
      </x:c>
      <x:c r="L101" s="2" t="str">
        <x:v>A_ARC_H</x:v>
      </x:c>
      <x:c r="M101" s="2" t="str">
        <x:v>调用记本体和投送费，弹药射出/丢弃时另记；弹药背包属于同一装备。</x:v>
      </x:c>
      <x:c r="N101" s="2" t="str">
        <x:v>https://helldivers.wiki.gg/wiki/ARC-3_Arc_Thrower</x:v>
      </x:c>
      <x:c r="O101" s="2" t="str">
        <x:v>Wiki背景已核对；价格为MOD标准</x:v>
      </x:c>
      <x:c r="P101" s="2" t="str">
        <x:v>ARC-3 Arc Thrower</x:v>
      </x:c>
      <x:c r="Q101" s="2" t="str">
        <x:v>中文Wiki用名</x:v>
      </x:c>
      <x:c r="R101" s="25" t="str">
        <x:v>蓄力释放可串联多个目标的高压电弧。</x:v>
      </x:c>
      <x:c r="S101" s="25" t="str">
        <x:v>维持设备本体较贵、供能耗材较低的成本结构；功能和耗材类型已逐件核对，发射次数/秒数与更换散热器分别计费。</x:v>
      </x:c>
      <x:c r="T101" s="25" t="str">
        <x:v>Wiki原文已逐页核对 · 2026-10-08</x:v>
      </x:c>
    </x:row>
    <x:row r="102" ht="52" customHeight="1">
      <x:c r="A102" s="8" t="str">
        <x:v>EQ-097</x:v>
      </x:c>
      <x:c r="B102" s="8" t="str">
        <x:v>支援武器</x:v>
      </x:c>
      <x:c r="C102" s="8" t="str">
        <x:v>LAS-99 类星体加农炮</x:v>
      </x:c>
      <x:c r="D102" s="14" t="n">
        <x:f>ROUND('定价参数'!$D$69*I102,2)</x:f>
        <x:v>80000</x:v>
      </x:c>
      <x:c r="E102" s="8" t="str">
        <x:v>次</x:v>
      </x:c>
      <x:c r="F102" s="14" t="n">
        <x:f>ROUND('定价参数'!$D$32*J102,2)</x:f>
        <x:v>10</x:v>
      </x:c>
      <x:c r="G102" s="8" t="str">
        <x:v>消耗时计费</x:v>
      </x:c>
      <x:c r="H102" s="14" t="n">
        <x:f>0</x:f>
        <x:v>0</x:v>
      </x:c>
      <x:c r="I102" s="11" t="n">
        <x:v>1</x:v>
      </x:c>
      <x:c r="J102" s="11" t="n">
        <x:v>1</x:v>
      </x:c>
      <x:c r="K102" s="8" t="str">
        <x:v>B_QUASAR</x:v>
      </x:c>
      <x:c r="L102" s="8" t="str">
        <x:v>A_QUASAR</x:v>
      </x:c>
      <x:c r="M102" s="8" t="str">
        <x:v>调用记本体和投送费，弹药射出/丢弃时另记；弹药背包属于同一装备。</x:v>
      </x:c>
      <x:c r="N102" s="8" t="str">
        <x:v>https://helldivers.wiki.gg/wiki/LAS-99_Quasar_Cannon</x:v>
      </x:c>
      <x:c r="O102" s="8" t="str">
        <x:v>Wiki背景已核对；价格为MOD标准</x:v>
      </x:c>
      <x:c r="P102" s="8" t="str">
        <x:v>LAS-99 Quasar Cannon</x:v>
      </x:c>
      <x:c r="Q102" s="8" t="str">
        <x:v>中文Wiki用名</x:v>
      </x:c>
      <x:c r="R102" s="62" t="str">
        <x:v>蓄力后释放强力爆炸能量，使用后需较长冷却。</x:v>
      </x:c>
      <x:c r="S102" s="62" t="str">
        <x:v>维持设备本体较贵、供能耗材较低的成本结构；功能和耗材类型已逐件核对，发射次数/秒数与更换散热器分别计费。</x:v>
      </x:c>
      <x:c r="T102" s="62" t="str">
        <x:v>Wiki原文已逐页核对 · 2026-10-08</x:v>
      </x:c>
    </x:row>
    <x:row r="103" ht="52" customHeight="1">
      <x:c r="A103" s="2" t="str">
        <x:v>EQ-098</x:v>
      </x:c>
      <x:c r="B103" s="2" t="str">
        <x:v>支援武器</x:v>
      </x:c>
      <x:c r="C103" s="2" t="str">
        <x:v>SG-88 中折式霰弹枪</x:v>
      </x:c>
      <x:c r="D103" s="15" t="n">
        <x:f>ROUND('定价参数'!$D$49*I103,2)</x:f>
        <x:v>560</x:v>
      </x:c>
      <x:c r="E103" s="2" t="str">
        <x:v>发</x:v>
      </x:c>
      <x:c r="F103" s="15" t="n">
        <x:f>ROUND('定价参数'!$D$9*J103,2)</x:f>
        <x:v>0.52</x:v>
      </x:c>
      <x:c r="G103" s="2" t="str">
        <x:v>场景拾取；消耗时计费</x:v>
      </x:c>
      <x:c r="H103" s="15" t="n">
        <x:f>0</x:f>
        <x:v>0</x:v>
      </x:c>
      <x:c r="I103" s="11" t="n">
        <x:v>0.4</x:v>
      </x:c>
      <x:c r="J103" s="11" t="n">
        <x:v>1</x:v>
      </x:c>
      <x:c r="K103" s="2" t="str">
        <x:v>B_SHOT</x:v>
      </x:c>
      <x:c r="L103" s="2" t="str">
        <x:v>A_SHOT</x:v>
      </x:c>
      <x:c r="M103" s="2" t="str">
        <x:v>场景拾取参考项；没有确认可独立调用，不生成调用价。</x:v>
      </x:c>
      <x:c r="N103" s="2" t="str">
        <x:v>https://helldivers.wiki.gg/wiki/SG-88_Break-Action_Shotgun</x:v>
      </x:c>
      <x:c r="O103" s="2" t="str">
        <x:v>Wiki背景已核对；价格为MOD标准</x:v>
      </x:c>
      <x:c r="P103" s="2" t="str">
        <x:v>SG-88 Break-Action Shotgun</x:v>
      </x:c>
      <x:c r="Q103" s="2" t="str">
        <x:v>中文Wiki用名</x:v>
      </x:c>
      <x:c r="R103" s="25" t="str">
        <x:v>殖民者狩猎与自卫用双发中折霰弹枪，仅在地图拾取。</x:v>
      </x:c>
      <x:c r="S103" s="25" t="str">
        <x:v>保留标准枪械/普通弹成本；射速、容量和联动厂商只影响用量或设备结构，不自动提高每发价。</x:v>
      </x:c>
      <x:c r="T103" s="25" t="str">
        <x:v>Wiki原文已逐页核对 · 2026-10-08</x:v>
      </x:c>
    </x:row>
    <x:row r="104" ht="52" customHeight="1">
      <x:c r="A104" s="8" t="str">
        <x:v>EQ-099</x:v>
      </x:c>
      <x:c r="B104" s="8" t="str">
        <x:v>支援武器</x:v>
      </x:c>
      <x:c r="C104" s="8" t="str">
        <x:v>CQC-72 堑壕工具</x:v>
      </x:c>
      <x:c r="D104" s="14" t="n">
        <x:f>ROUND('定价参数'!$D$56*I104,2)</x:f>
        <x:v>150</x:v>
      </x:c>
      <x:c r="E104" s="8" t="str">
        <x:v>—</x:v>
      </x:c>
      <x:c r="F104" s="14" t="n">
        <x:v>0</x:v>
      </x:c>
      <x:c r="G104" s="8" t="str">
        <x:v>场景既有装备；取得不新采购</x:v>
      </x:c>
      <x:c r="H104" s="14" t="n">
        <x:f>0</x:f>
        <x:v>0</x:v>
      </x:c>
      <x:c r="I104" s="11" t="n">
        <x:v>1</x:v>
      </x:c>
      <x:c r="J104" s="11" t="n">
        <x:v>0</x:v>
      </x:c>
      <x:c r="K104" s="8" t="str">
        <x:v>B_MELEE</x:v>
      </x:c>
      <x:c r="L104" s="8" t="str"/>
      <x:c r="M104" s="8" t="str">
        <x:v>整件采购/发放价，任务内挥动、挖掘、电击和一般维护不另计动作费。地图拾取是既有资产转移，150 MC为装备价值，不凭拾取再收采购费。</x:v>
      </x:c>
      <x:c r="N104" s="8" t="str">
        <x:v>https://helldivers.wiki.gg/wiki/CQC-72_Entrenchment_Tool</x:v>
      </x:c>
      <x:c r="O104" s="8" t="str">
        <x:v>已核对Wiki概述；CQC型号命名有差异</x:v>
      </x:c>
      <x:c r="P104" s="8" t="str">
        <x:v>CQC-72 Entrenchment Tool</x:v>
      </x:c>
      <x:c r="Q104" s="8" t="str">
        <x:v>中文Wiki用名</x:v>
      </x:c>
      <x:c r="R104" s="62" t="str">
        <x:v>铲形支援近战工具，可在墓地等兴趣点拾取，无玩家投送战备。</x:v>
      </x:c>
      <x:c r="S104" s="62" t="str">
        <x:v>整件采购/发放价，任务内挥动、挖掘、电击和一般维护不另计动作费。</x:v>
      </x:c>
      <x:c r="T104" s="62" t="str">
        <x:v>Wiki说明已核对；无军械库背景引文</x:v>
      </x:c>
    </x:row>
    <x:row r="105" ht="52" customHeight="1">
      <x:c r="A105" s="2" t="str">
        <x:v>EQ-100</x:v>
      </x:c>
      <x:c r="B105" s="2" t="str">
        <x:v>支援武器</x:v>
      </x:c>
      <x:c r="C105" s="2" t="str">
        <x:v>TX-41 灭菌器</x:v>
      </x:c>
      <x:c r="D105" s="15" t="n">
        <x:f>ROUND('定价参数'!$D$63*I105,2)</x:f>
        <x:v>5000</x:v>
      </x:c>
      <x:c r="E105" s="2" t="str">
        <x:v>显示单位</x:v>
      </x:c>
      <x:c r="F105" s="15" t="n">
        <x:f>ROUND('定价参数'!$D$26*J105,2)</x:f>
        <x:v>0.5</x:v>
      </x:c>
      <x:c r="G105" s="2" t="str">
        <x:v>消耗时计费</x:v>
      </x:c>
      <x:c r="H105" s="15" t="n">
        <x:f>0</x:f>
        <x:v>0</x:v>
      </x:c>
      <x:c r="I105" s="11" t="n">
        <x:v>1</x:v>
      </x:c>
      <x:c r="J105" s="11" t="n">
        <x:v>1</x:v>
      </x:c>
      <x:c r="K105" s="2" t="str">
        <x:v>B_FLAM_S</x:v>
      </x:c>
      <x:c r="L105" s="2" t="str">
        <x:v>A_GAS</x:v>
      </x:c>
      <x:c r="M105" s="2" t="str">
        <x:v>调用记本体和投送费，弹药射出/丢弃时另记；弹药背包属于同一装备。介质按游戏显示单位，不等同毫升/升。</x:v>
      </x:c>
      <x:c r="N105" s="2" t="str">
        <x:v>https://helldivers.wiki.gg/wiki/TX-41_Sterilizer</x:v>
      </x:c>
      <x:c r="O105" s="2" t="str">
        <x:v>Wiki背景已核对；价格为MOD标准</x:v>
      </x:c>
      <x:c r="P105" s="2" t="str">
        <x:v>TX-41 Sterilizer</x:v>
      </x:c>
      <x:c r="Q105" s="2" t="str">
        <x:v>中文Wiki用名</x:v>
      </x:c>
      <x:c r="R105" s="25" t="str">
        <x:v>把腐蚀性化学药剂雾化，可损伤组织与电子设备并致盲。</x:v>
      </x:c>
      <x:c r="S105" s="25" t="str">
        <x:v>按专用燃料、药剂或装药计价，设备与耗材分开；现有基价与对应构造相符。</x:v>
      </x:c>
      <x:c r="T105" s="25" t="str">
        <x:v>Wiki原文已逐页核对 · 2026-10-08</x:v>
      </x:c>
    </x:row>
    <x:row r="106" ht="52" customHeight="1">
      <x:c r="A106" s="8" t="str">
        <x:v>EQ-101</x:v>
      </x:c>
      <x:c r="B106" s="8" t="str">
        <x:v>支援武器</x:v>
      </x:c>
      <x:c r="C106" s="8" t="str">
        <x:v>CQC-1 唯一真旗</x:v>
      </x:c>
      <x:c r="D106" s="14" t="n">
        <x:f>ROUND('定价参数'!$D$56*I106,2)</x:f>
        <x:v>450</x:v>
      </x:c>
      <x:c r="E106" s="8" t="str">
        <x:v>—</x:v>
      </x:c>
      <x:c r="F106" s="14" t="n">
        <x:v>0</x:v>
      </x:c>
      <x:c r="G106" s="8" t="str">
        <x:v>新发放整件计费</x:v>
      </x:c>
      <x:c r="H106" s="14" t="n">
        <x:f>0</x:f>
        <x:v>0</x:v>
      </x:c>
      <x:c r="I106" s="11" t="n">
        <x:v>3</x:v>
      </x:c>
      <x:c r="J106" s="11" t="n">
        <x:v>0</x:v>
      </x:c>
      <x:c r="K106" s="8" t="str">
        <x:v>B_MELEE</x:v>
      </x:c>
      <x:c r="L106" s="8" t="str"/>
      <x:c r="M106" s="8" t="str">
        <x:v>整件采购/发放价，任务内挥动、挖掘、电击和一般维护不另计动作费。实际新发放一件收一次本体价；已有装备拾回/队友转交不再次采购。</x:v>
      </x:c>
      <x:c r="N106" s="8" t="str">
        <x:v>https://helldivers.wiki.gg/wiki/CQC-1_One_True_Flag</x:v>
      </x:c>
      <x:c r="O106" s="8" t="str">
        <x:v>Wiki背景已核对；价格为MOD标准</x:v>
      </x:c>
      <x:c r="P106" s="8" t="str">
        <x:v>CQC-1 One True Flag</x:v>
      </x:c>
      <x:c r="Q106" s="8" t="str">
        <x:v>中文Wiki用名</x:v>
      </x:c>
      <x:c r="R106" s="62" t="str">
        <x:v>超级地球旗帜及旗杆构成的近战武器，持旗者会吸引敌人优先攻击。</x:v>
      </x:c>
      <x:c r="S106" s="62" t="str">
        <x:v>整件采购/发放价，任务内挥动、挖掘、电击和一般维护不另计动作费。</x:v>
      </x:c>
      <x:c r="T106" s="62" t="str">
        <x:v>Wiki原文已逐页核对 · 2026-10-08</x:v>
      </x:c>
    </x:row>
    <x:row r="107" ht="52" customHeight="1">
      <x:c r="A107" s="2" t="str">
        <x:v>EQ-102</x:v>
      </x:c>
      <x:c r="B107" s="2" t="str">
        <x:v>支援武器</x:v>
      </x:c>
      <x:c r="C107" s="2" t="str">
        <x:v>GL-52 降级者</x:v>
      </x:c>
      <x:c r="D107" s="15" t="n">
        <x:f>ROUND('定价参数'!$D$66*I107,2)</x:f>
        <x:v>14400</x:v>
      </x:c>
      <x:c r="E107" s="2" t="str">
        <x:v>发</x:v>
      </x:c>
      <x:c r="F107" s="15" t="n">
        <x:f>ROUND('定价参数'!$D$14*J107,2)</x:f>
        <x:v>160</x:v>
      </x:c>
      <x:c r="G107" s="2" t="str">
        <x:v>消耗时计费</x:v>
      </x:c>
      <x:c r="H107" s="15" t="n">
        <x:f>0</x:f>
        <x:v>0</x:v>
      </x:c>
      <x:c r="I107" s="11" t="n">
        <x:v>1.2</x:v>
      </x:c>
      <x:c r="J107" s="11" t="n">
        <x:v>1</x:v>
      </x:c>
      <x:c r="K107" s="2" t="str">
        <x:v>B_GL</x:v>
      </x:c>
      <x:c r="L107" s="2" t="str">
        <x:v>A_GRENADE_STUN</x:v>
      </x:c>
      <x:c r="M107" s="2" t="str">
        <x:v>调用记本体和投送费，弹药射出/丢弃时另记；弹药背包属于同一装备。</x:v>
      </x:c>
      <x:c r="N107" s="2" t="str">
        <x:v>https://helldivers.wiki.gg/wiki/GL-52_De-Escalator</x:v>
      </x:c>
      <x:c r="O107" s="2" t="str">
        <x:v>Wiki背景已核对；价格为MOD标准</x:v>
      </x:c>
      <x:c r="P107" s="2" t="str">
        <x:v>GL-52 De-Escalator</x:v>
      </x:c>
      <x:c r="Q107" s="2" t="str">
        <x:v>参考译名</x:v>
      </x:c>
      <x:c r="R107" s="25" t="str">
        <x:v>发射高功率电弧榴弹的发射器。</x:v>
      </x:c>
      <x:c r="S107" s="25" t="str">
        <x:v>维持设备本体较贵、供能耗材较低的成本结构；功能和耗材类型已逐件核对，发射次数/秒数与更换散热器分别计费。</x:v>
      </x:c>
      <x:c r="T107" s="25" t="str">
        <x:v>Wiki原文已逐页核对 · 2026-10-08</x:v>
      </x:c>
    </x:row>
    <x:row r="108" ht="52" customHeight="1">
      <x:c r="A108" s="8" t="str">
        <x:v>EQ-103</x:v>
      </x:c>
      <x:c r="B108" s="8" t="str">
        <x:v>支援武器</x:v>
      </x:c>
      <x:c r="C108" s="8" t="str">
        <x:v>PLAS-45 纪元</x:v>
      </x:c>
      <x:c r="D108" s="14" t="n">
        <x:f>ROUND('定价参数'!$D$70*I108,2)</x:f>
        <x:v>60000</x:v>
      </x:c>
      <x:c r="E108" s="8" t="str">
        <x:v>发</x:v>
      </x:c>
      <x:c r="F108" s="14" t="n">
        <x:f>ROUND('定价参数'!$D$24*J108,2)</x:f>
        <x:v>120</x:v>
      </x:c>
      <x:c r="G108" s="8" t="str">
        <x:v>消耗时计费</x:v>
      </x:c>
      <x:c r="H108" s="14" t="n">
        <x:f>0</x:f>
        <x:v>0</x:v>
      </x:c>
      <x:c r="I108" s="11" t="n">
        <x:v>1</x:v>
      </x:c>
      <x:c r="J108" s="11" t="n">
        <x:v>10</x:v>
      </x:c>
      <x:c r="K108" s="8" t="str">
        <x:v>B_PLAS_S</x:v>
      </x:c>
      <x:c r="L108" s="8" t="str">
        <x:v>A_PLASMA_H</x:v>
      </x:c>
      <x:c r="M108" s="8" t="str">
        <x:v>调用记本体和投送费，弹药射出/丢弃时另记；弹药背包属于同一装备。</x:v>
      </x:c>
      <x:c r="N108" s="8" t="str">
        <x:v>https://helldivers.wiki.gg/wiki/PLAS-45_Epoch</x:v>
      </x:c>
      <x:c r="O108" s="8" t="str">
        <x:v>Wiki背景已核对；价格为MOD标准</x:v>
      </x:c>
      <x:c r="P108" s="8" t="str">
        <x:v>PLAS-45 Epoch</x:v>
      </x:c>
      <x:c r="Q108" s="8" t="str">
        <x:v>参考译名</x:v>
      </x:c>
      <x:c r="R108" s="62" t="str">
        <x:v>高功率蓄力等离子武器，单次释放命中爆炸，不能过度蓄力。</x:v>
      </x:c>
      <x:c r="S108" s="62" t="str">
        <x:v>维持设备本体较贵、供能耗材较低的成本结构；功能和耗材类型已逐件核对，发射次数/秒数与更换散热器分别计费。</x:v>
      </x:c>
      <x:c r="T108" s="62" t="str">
        <x:v>Wiki原文已逐页核对 · 2026-10-08</x:v>
      </x:c>
    </x:row>
    <x:row r="109" ht="52" customHeight="1">
      <x:c r="A109" s="2" t="str">
        <x:v>EQ-104</x:v>
      </x:c>
      <x:c r="B109" s="2" t="str">
        <x:v>支援武器</x:v>
      </x:c>
      <x:c r="C109" s="2" t="str">
        <x:v>S-11 矛枪</x:v>
      </x:c>
      <x:c r="D109" s="15" t="n">
        <x:f>ROUND('定价参数'!$D$46*I109,2)</x:f>
        <x:v>2000</x:v>
      </x:c>
      <x:c r="E109" s="2" t="str">
        <x:v>支</x:v>
      </x:c>
      <x:c r="F109" s="15" t="n">
        <x:f>ROUND('定价参数'!$D$39*J109,2)</x:f>
        <x:v>120</x:v>
      </x:c>
      <x:c r="G109" s="2" t="str">
        <x:v>消耗时计费</x:v>
      </x:c>
      <x:c r="H109" s="15" t="n">
        <x:f>0</x:f>
        <x:v>0</x:v>
      </x:c>
      <x:c r="I109" s="11" t="n">
        <x:v>1</x:v>
      </x:c>
      <x:c r="J109" s="11" t="n">
        <x:v>6</x:v>
      </x:c>
      <x:c r="K109" s="2" t="str">
        <x:v>B_AR</x:v>
      </x:c>
      <x:c r="L109" s="2" t="str">
        <x:v>A_SPEAR</x:v>
      </x:c>
      <x:c r="M109" s="2" t="str">
        <x:v>调用记本体和投送费，弹药射出/丢弃时另记；弹药背包属于同一装备。</x:v>
      </x:c>
      <x:c r="N109" s="2" t="str">
        <x:v>https://helldivers.wiki.gg/wiki/S-11_Speargun</x:v>
      </x:c>
      <x:c r="O109" s="2" t="str">
        <x:v>Wiki背景已核对；价格为MOD标准</x:v>
      </x:c>
      <x:c r="P109" s="2" t="str">
        <x:v>S-11 Speargun</x:v>
      </x:c>
      <x:c r="Q109" s="2" t="str">
        <x:v>参考译名</x:v>
      </x:c>
      <x:c r="R109" s="25" t="str">
        <x:v>逐支装填重型长矛，命中时释放毒气。</x:v>
      </x:c>
      <x:c r="S109" s="25" t="str">
        <x:v>长矛包括气体药剂载荷、触发及容器，不能按普通杆件收费。</x:v>
      </x:c>
      <x:c r="T109" s="25" t="str">
        <x:v>Wiki原文已逐页核对 · 2026-10-08</x:v>
      </x:c>
    </x:row>
    <x:row r="110" ht="52" customHeight="1">
      <x:c r="A110" s="8" t="str">
        <x:v>EQ-105</x:v>
      </x:c>
      <x:c r="B110" s="8" t="str">
        <x:v>支援武器</x:v>
      </x:c>
      <x:c r="C110" s="8" t="str">
        <x:v>EAT-700 消耗性凝固汽油弹</x:v>
      </x:c>
      <x:c r="D110" s="14" t="n">
        <x:f>ROUND('定价参数'!$D$61*I110,2)</x:f>
        <x:v>200</x:v>
      </x:c>
      <x:c r="E110" s="8" t="str">
        <x:v>发</x:v>
      </x:c>
      <x:c r="F110" s="14" t="n">
        <x:f>ROUND('定价参数'!$D$38*J110,2)</x:f>
        <x:v>4500</x:v>
      </x:c>
      <x:c r="G110" s="8" t="str">
        <x:v>弹药已含调用价</x:v>
      </x:c>
      <x:c r="H110" s="14" t="n">
        <x:f>0</x:f>
        <x:v>0</x:v>
      </x:c>
      <x:c r="I110" s="11" t="n">
        <x:v>1</x:v>
      </x:c>
      <x:c r="J110" s="11" t="n">
        <x:v>1</x:v>
      </x:c>
      <x:c r="K110" s="8" t="str">
        <x:v>B_DISP</x:v>
      </x:c>
      <x:c r="L110" s="8" t="str">
        <x:v>A_NAPALM_R</x:v>
      </x:c>
      <x:c r="M110" s="8" t="str">
        <x:v>一次性装备按整包交付计费；射击显示成本分解，不再加到总额。</x:v>
      </x:c>
      <x:c r="N110" s="8" t="str">
        <x:v>https://helldivers.wiki.gg/wiki/EAT-700_Expendable_Napalm</x:v>
      </x:c>
      <x:c r="O110" s="8" t="str">
        <x:v>Wiki背景已核对；价格为MOD标准</x:v>
      </x:c>
      <x:c r="P110" s="8" t="str">
        <x:v>EAT-700 Expendable Napalm</x:v>
      </x:c>
      <x:c r="Q110" s="8" t="str">
        <x:v>参考译名</x:v>
      </x:c>
      <x:c r="R110" s="62" t="str">
        <x:v>一次性发射凝固汽油集束导弹，每次投送两具。</x:v>
      </x:c>
      <x:c r="S110" s="62" t="str">
        <x:v>一次性发射器与全部随投送弹药包干；不在实际发射时重复收弹费。</x:v>
      </x:c>
      <x:c r="T110" s="62" t="str">
        <x:v>Wiki原文已逐页核对 · 2026-10-08</x:v>
      </x:c>
    </x:row>
    <x:row r="111" ht="52" customHeight="1">
      <x:c r="A111" s="2" t="str">
        <x:v>EQ-106</x:v>
      </x:c>
      <x:c r="B111" s="2" t="str">
        <x:v>支援武器</x:v>
      </x:c>
      <x:c r="C111" s="2" t="str">
        <x:v>MS-11 单兵导弹发射井</x:v>
      </x:c>
      <x:c r="D111" s="15" t="n">
        <x:f>ROUND('定价参数'!$D$62*I111,2)</x:f>
        <x:v>25000</x:v>
      </x:c>
      <x:c r="E111" s="2" t="str">
        <x:v>枚</x:v>
      </x:c>
      <x:c r="F111" s="15" t="n">
        <x:f>ROUND('定价参数'!$D$37*J111,2)</x:f>
        <x:v>250000</x:v>
      </x:c>
      <x:c r="G111" s="2" t="str">
        <x:v>消耗时计费</x:v>
      </x:c>
      <x:c r="H111" s="15" t="n">
        <x:f>0</x:f>
        <x:v>0</x:v>
      </x:c>
      <x:c r="I111" s="11" t="n">
        <x:v>0.5</x:v>
      </x:c>
      <x:c r="J111" s="11" t="n">
        <x:v>1</x:v>
      </x:c>
      <x:c r="K111" s="2" t="str">
        <x:v>B_GUIDED</x:v>
      </x:c>
      <x:c r="L111" s="2" t="str">
        <x:v>A_STRATEGIC</x:v>
      </x:c>
      <x:c r="M111" s="2" t="str">
        <x:v>调用记本体和投送费，弹药射出/丢弃时另记；弹药背包属于同一装备。</x:v>
      </x:c>
      <x:c r="N111" s="2" t="str">
        <x:v>https://helldivers.wiki.gg/wiki/MS-11_Solo_Silo</x:v>
      </x:c>
      <x:c r="O111" s="2" t="str">
        <x:v>Wiki背景已核对；价格为MOD标准</x:v>
      </x:c>
      <x:c r="P111" s="2" t="str">
        <x:v>MS-11 Solo Silo</x:v>
      </x:c>
      <x:c r="Q111" s="2" t="str">
        <x:v>中文Wiki用名</x:v>
      </x:c>
      <x:c r="R111" s="25" t="str">
        <x:v>单发强力导弹发射井，配手持目标遥控器。</x:v>
      </x:c>
      <x:c r="S111" s="25" t="str">
        <x:v>保留标准枪械/普通弹成本；射速、容量和联动厂商只影响用量或设备结构，不自动提高每发价。</x:v>
      </x:c>
      <x:c r="T111" s="25" t="str">
        <x:v>Wiki原文已逐页核对 · 2026-10-08</x:v>
      </x:c>
    </x:row>
    <x:row r="112" ht="52" customHeight="1">
      <x:c r="A112" s="8" t="str">
        <x:v>EQ-107</x:v>
      </x:c>
      <x:c r="B112" s="8" t="str">
        <x:v>支援武器</x:v>
      </x:c>
      <x:c r="C112" s="8" t="str">
        <x:v>CQC-9 除叶工具</x:v>
      </x:c>
      <x:c r="D112" s="14" t="n">
        <x:f>ROUND('定价参数'!$D$56*I112,2)</x:f>
        <x:v>1200</x:v>
      </x:c>
      <x:c r="E112" s="8" t="str">
        <x:v>—</x:v>
      </x:c>
      <x:c r="F112" s="14" t="n">
        <x:v>0</x:v>
      </x:c>
      <x:c r="G112" s="8" t="str">
        <x:v>新发放整件计费</x:v>
      </x:c>
      <x:c r="H112" s="14" t="n">
        <x:f>0</x:f>
        <x:v>0</x:v>
      </x:c>
      <x:c r="I112" s="11" t="n">
        <x:v>8</x:v>
      </x:c>
      <x:c r="J112" s="11" t="n">
        <x:v>0</x:v>
      </x:c>
      <x:c r="K112" s="8" t="str">
        <x:v>B_MELEE</x:v>
      </x:c>
      <x:c r="L112" s="8" t="str"/>
      <x:c r="M112" s="8" t="str">
        <x:v>动力锯、燃料及任务内使用保障合并为1200 MC，挥动或持续切割不另收费。实际新发放一件收一次本体价；已有装备拾回/队友转交不再次采购。</x:v>
      </x:c>
      <x:c r="N112" s="8" t="str">
        <x:v>https://helldivers.wiki.gg/wiki/CQC-9_Defoliation_Tool</x:v>
      </x:c>
      <x:c r="O112" s="8" t="str">
        <x:v>Wiki背景已核对；价格为MOD标准</x:v>
      </x:c>
      <x:c r="P112" s="8" t="str">
        <x:v>CQC-9 Defoliation Tool</x:v>
      </x:c>
      <x:c r="Q112" s="8" t="str">
        <x:v>参考译名</x:v>
      </x:c>
      <x:c r="R112" s="62" t="str">
        <x:v>用于清除树木与障碍的动力锯形近战工具，可持续接触切割。</x:v>
      </x:c>
      <x:c r="S112" s="62" t="str">
        <x:v>动力锯、燃料及任务内使用保障合并为1200 MC，挥动或持续切割不另收费。</x:v>
      </x:c>
      <x:c r="T112" s="62" t="str">
        <x:v>Wiki原文已逐页核对 · 2026-10-08</x:v>
      </x:c>
    </x:row>
    <x:row r="113" ht="52" customHeight="1">
      <x:c r="A113" s="2" t="str">
        <x:v>EQ-108</x:v>
      </x:c>
      <x:c r="B113" s="2" t="str">
        <x:v>支援武器</x:v>
      </x:c>
      <x:c r="C113" s="2" t="str">
        <x:v>M-1000 重装机枪</x:v>
      </x:c>
      <x:c r="D113" s="15" t="n">
        <x:f>ROUND('定价参数'!$D$58*I113,2)</x:f>
        <x:v>40000</x:v>
      </x:c>
      <x:c r="E113" s="2" t="str">
        <x:v>发</x:v>
      </x:c>
      <x:c r="F113" s="15" t="n">
        <x:f>ROUND('定价参数'!$D$8*J113,2)</x:f>
        <x:v>2.4</x:v>
      </x:c>
      <x:c r="G113" s="2" t="str">
        <x:v>消耗时计费</x:v>
      </x:c>
      <x:c r="H113" s="15" t="n">
        <x:f>0</x:f>
        <x:v>0</x:v>
      </x:c>
      <x:c r="I113" s="11" t="n">
        <x:v>2</x:v>
      </x:c>
      <x:c r="J113" s="11" t="n">
        <x:v>2</x:v>
      </x:c>
      <x:c r="K113" s="2" t="str">
        <x:v>B_HMG</x:v>
      </x:c>
      <x:c r="L113" s="2" t="str">
        <x:v>A_RIFLE_M</x:v>
      </x:c>
      <x:c r="M113" s="2" t="str">
        <x:v>调用记本体和投送费，弹药射出/丢弃时另记；弹药背包属于同一装备。</x:v>
      </x:c>
      <x:c r="N113" s="2" t="str">
        <x:v>https://helldivers.wiki.gg/wiki/M-1000_Maxigun</x:v>
      </x:c>
      <x:c r="O113" s="2" t="str">
        <x:v>Wiki背景已核对；价格为MOD标准</x:v>
      </x:c>
      <x:c r="P113" s="2" t="str">
        <x:v>M-1000 Maxigun</x:v>
      </x:c>
      <x:c r="Q113" s="2" t="str">
        <x:v>中文Wiki用名</x:v>
      </x:c>
      <x:c r="R113" s="25" t="str">
        <x:v>弹链供弹的高容量转管机枪，附弹药背包，不能用普通非弹链弹药装填。</x:v>
      </x:c>
      <x:c r="S113" s="25" t="str">
        <x:v>保留标准枪械/普通弹成本；射速、容量和联动厂商只影响用量或设备结构，不自动提高每发价。</x:v>
      </x:c>
      <x:c r="T113" s="25" t="str">
        <x:v>Wiki原文已逐页核对 · 2026-10-08</x:v>
      </x:c>
    </x:row>
    <x:row r="114" ht="52" customHeight="1">
      <x:c r="A114" s="8" t="str">
        <x:v>EQ-109</x:v>
      </x:c>
      <x:c r="B114" s="8" t="str">
        <x:v>支援武器</x:v>
      </x:c>
      <x:c r="C114" s="8" t="str">
        <x:v>B/MD C4背包</x:v>
      </x:c>
      <x:c r="D114" s="14" t="n">
        <x:f>ROUND('定价参数'!$D$71*I114,2)</x:f>
        <x:v>500</x:v>
      </x:c>
      <x:c r="E114" s="8" t="str">
        <x:v>块</x:v>
      </x:c>
      <x:c r="F114" s="14" t="n">
        <x:f>ROUND('定价参数'!$D$40*J114,2)</x:f>
        <x:v>100</x:v>
      </x:c>
      <x:c r="G114" s="8" t="str">
        <x:v>消耗时计费</x:v>
      </x:c>
      <x:c r="H114" s="14" t="n">
        <x:f>0</x:f>
        <x:v>0</x:v>
      </x:c>
      <x:c r="I114" s="11" t="n">
        <x:v>1</x:v>
      </x:c>
      <x:c r="J114" s="11" t="n">
        <x:v>1</x:v>
      </x:c>
      <x:c r="K114" s="8" t="str">
        <x:v>B_C4</x:v>
      </x:c>
      <x:c r="L114" s="8" t="str">
        <x:v>A_C4</x:v>
      </x:c>
      <x:c r="M114" s="8" t="str">
        <x:v>调用记本体和投送费，弹药射出/丢弃时另记；弹药背包属于同一装备。</x:v>
      </x:c>
      <x:c r="N114" s="8" t="str">
        <x:v>https://helldivers.wiki.gg/wiki/B/MD_C4_Pack</x:v>
      </x:c>
      <x:c r="O114" s="8" t="str">
        <x:v>Wiki背景已核对；价格为MOD标准</x:v>
      </x:c>
      <x:c r="P114" s="8" t="str">
        <x:v>B/MD C4 Pack</x:v>
      </x:c>
      <x:c r="Q114" s="8" t="str">
        <x:v>中文Wiki用名</x:v>
      </x:c>
      <x:c r="R114" s="62" t="str">
        <x:v>六枚粘附C4与无线引爆器组成的支援包，可分次或同时引爆。</x:v>
      </x:c>
      <x:c r="S114" s="62" t="str">
        <x:v>按专用燃料、药剂或装药计价，设备与耗材分开；现有基价与对应构造相符。</x:v>
      </x:c>
      <x:c r="T114" s="62" t="str">
        <x:v>Wiki原文已逐页核对 · 2026-10-08</x:v>
      </x:c>
    </x:row>
    <x:row r="115" ht="52" customHeight="1">
      <x:c r="A115" s="2" t="str">
        <x:v>EQ-110</x:v>
      </x:c>
      <x:c r="B115" s="2" t="str">
        <x:v>支援武器</x:v>
      </x:c>
      <x:c r="C115" s="2" t="str">
        <x:v>CQC-20 破门锤</x:v>
      </x:c>
      <x:c r="D115" s="15" t="n">
        <x:f>ROUND('定价参数'!$D$56*I115,2)</x:f>
        <x:v>4800</x:v>
      </x:c>
      <x:c r="E115" s="2" t="str">
        <x:v>—</x:v>
      </x:c>
      <x:c r="F115" s="15" t="n">
        <x:v>0</x:v>
      </x:c>
      <x:c r="G115" s="2" t="str">
        <x:v>新发放整件计费</x:v>
      </x:c>
      <x:c r="H115" s="15" t="n">
        <x:f>0</x:f>
        <x:v>0</x:v>
      </x:c>
      <x:c r="I115" s="11" t="n">
        <x:v>32</x:v>
      </x:c>
      <x:c r="J115" s="11" t="n">
        <x:v>0</x:v>
      </x:c>
      <x:c r="K115" s="2" t="str">
        <x:v>B_MELEE</x:v>
      </x:c>
      <x:c r="L115" s="2" t="str"/>
      <x:c r="M115" s="2" t="str">
        <x:v>锤体及通常八份装药的标准发放/任务保障合计4800 MC；按用户约定，装药与挥动均不单独收费。实际新发放一件收一次本体价；已有装备拾回/队友转交不再次采购。</x:v>
      </x:c>
      <x:c r="N115" s="2" t="str">
        <x:v>https://helldivers.wiki.gg/wiki/CQC-20_Breaching_Hammer</x:v>
      </x:c>
      <x:c r="O115" s="2" t="str">
        <x:v>Wiki背景已核对；价格为MOD标准</x:v>
      </x:c>
      <x:c r="P115" s="2" t="str">
        <x:v>CQC-20 Breaching Hammer</x:v>
      </x:c>
      <x:c r="Q115" s="2" t="str">
        <x:v>中文Wiki用名</x:v>
      </x:c>
      <x:c r="R115" s="25" t="str">
        <x:v>可在锤头装炸药的双手大锤；通常一份待用加七份备用装药。</x:v>
      </x:c>
      <x:c r="S115" s="25" t="str">
        <x:v>锤体及通常八份装药的标准发放/任务保障合计4800 MC；按用户约定，装药与挥动均不单独收费。</x:v>
      </x:c>
      <x:c r="T115" s="25" t="str">
        <x:v>Wiki原文已逐页核对 · 2026-10-08</x:v>
      </x:c>
    </x:row>
    <x:row r="116" ht="52" customHeight="1">
      <x:c r="A116" s="8" t="str">
        <x:v>EQ-111</x:v>
      </x:c>
      <x:c r="B116" s="8" t="str">
        <x:v>支援武器</x:v>
      </x:c>
      <x:c r="C116" s="8" t="str">
        <x:v>EAT-411 荡平者</x:v>
      </x:c>
      <x:c r="D116" s="14" t="n">
        <x:f>ROUND('定价参数'!$D$61*I116,2)</x:f>
        <x:v>200</x:v>
      </x:c>
      <x:c r="E116" s="8" t="str">
        <x:v>发</x:v>
      </x:c>
      <x:c r="F116" s="14" t="n">
        <x:f>ROUND('定价参数'!$D$16*J116,2)</x:f>
        <x:v>17500</x:v>
      </x:c>
      <x:c r="G116" s="8" t="str">
        <x:v>弹药已含调用价</x:v>
      </x:c>
      <x:c r="H116" s="14" t="n">
        <x:f>0</x:f>
        <x:v>0</x:v>
      </x:c>
      <x:c r="I116" s="11" t="n">
        <x:v>1</x:v>
      </x:c>
      <x:c r="J116" s="11" t="n">
        <x:v>5</x:v>
      </x:c>
      <x:c r="K116" s="8" t="str">
        <x:v>B_DISP</x:v>
      </x:c>
      <x:c r="L116" s="8" t="str">
        <x:v>A_ROCKET</x:v>
      </x:c>
      <x:c r="M116" s="8" t="str">
        <x:v>一次性装备按整包交付计费；射击显示成本分解，不再加到总额。</x:v>
      </x:c>
      <x:c r="N116" s="8" t="str">
        <x:v>https://helldivers.wiki.gg/wiki/EAT-411_Leveller</x:v>
      </x:c>
      <x:c r="O116" s="8" t="str">
        <x:v>Wiki背景已核对；价格为MOD标准</x:v>
      </x:c>
      <x:c r="P116" s="8" t="str">
        <x:v>EAT-411 Leveller</x:v>
      </x:c>
      <x:c r="Q116" s="8" t="str">
        <x:v>中文Wiki用名</x:v>
      </x:c>
      <x:c r="R116" s="62" t="str">
        <x:v>一次性高当量导弹发射器，使用后抛弃。</x:v>
      </x:c>
      <x:c r="S116" s="62" t="str">
        <x:v>高当量区域杀伤导弹比常规单发反坦克弹复杂，按整枚导弹价。</x:v>
      </x:c>
      <x:c r="T116" s="62" t="str">
        <x:v>Wiki原文已逐页核对 · 2026-10-08</x:v>
      </x:c>
    </x:row>
    <x:row r="117" ht="52" customHeight="1">
      <x:c r="A117" s="2" t="str">
        <x:v>EQ-112</x:v>
      </x:c>
      <x:c r="B117" s="2" t="str">
        <x:v>支援武器</x:v>
      </x:c>
      <x:c r="C117" s="2" t="str">
        <x:v>GL-28 弹链式榴弹发射器</x:v>
      </x:c>
      <x:c r="D117" s="15" t="n">
        <x:f>ROUND('定价参数'!$D$66*I117,2)</x:f>
        <x:v>24000</x:v>
      </x:c>
      <x:c r="E117" s="2" t="str">
        <x:v>发</x:v>
      </x:c>
      <x:c r="F117" s="15" t="n">
        <x:f>ROUND('定价参数'!$D$13*J117,2)</x:f>
        <x:v>80</x:v>
      </x:c>
      <x:c r="G117" s="2" t="str">
        <x:v>消耗时计费</x:v>
      </x:c>
      <x:c r="H117" s="15" t="n">
        <x:f>0</x:f>
        <x:v>0</x:v>
      </x:c>
      <x:c r="I117" s="11" t="n">
        <x:v>2</x:v>
      </x:c>
      <x:c r="J117" s="11" t="n">
        <x:v>1</x:v>
      </x:c>
      <x:c r="K117" s="2" t="str">
        <x:v>B_GL</x:v>
      </x:c>
      <x:c r="L117" s="2" t="str">
        <x:v>A_GRENADE</x:v>
      </x:c>
      <x:c r="M117" s="2" t="str">
        <x:v>调用记本体和投送费，弹药射出/丢弃时另记；弹药背包属于同一装备。</x:v>
      </x:c>
      <x:c r="N117" s="2" t="str">
        <x:v>https://helldivers.wiki.gg/wiki/GL-28_Belt-Fed_Grenade_Launcher</x:v>
      </x:c>
      <x:c r="O117" s="2" t="str">
        <x:v>Wiki背景已核对；价格为MOD标准</x:v>
      </x:c>
      <x:c r="P117" s="2" t="str">
        <x:v>GL-28 Belt-Fed Grenade Launcher</x:v>
      </x:c>
      <x:c r="Q117" s="2" t="str">
        <x:v>中文Wiki用名</x:v>
      </x:c>
      <x:c r="R117" s="25" t="str">
        <x:v>附弹药背包的弹链式榴弹发射器，可持续射击。</x:v>
      </x:c>
      <x:c r="S117" s="25" t="str">
        <x:v>保留标准枪械/普通弹成本；射速、容量和联动厂商只影响用量或设备结构，不自动提高每发价。</x:v>
      </x:c>
      <x:c r="T117" s="25" t="str">
        <x:v>Wiki原文已逐页核对 · 2026-10-08</x:v>
      </x:c>
    </x:row>
    <x:row r="118" ht="52" customHeight="1">
      <x:c r="A118" s="8" t="str">
        <x:v>EQ-113</x:v>
      </x:c>
      <x:c r="B118" s="8" t="str">
        <x:v>支援武器</x:v>
      </x:c>
      <x:c r="C118" s="8" t="str">
        <x:v>B/FLAM-80 焚燃者</x:v>
      </x:c>
      <x:c r="D118" s="14" t="n">
        <x:f>ROUND('定价参数'!$D$63*I118,2)</x:f>
        <x:v>10000</x:v>
      </x:c>
      <x:c r="E118" s="8" t="str">
        <x:v>显示单位</x:v>
      </x:c>
      <x:c r="F118" s="14" t="n">
        <x:f>ROUND('定价参数'!$D$25*J118,2)</x:f>
        <x:v>0.3</x:v>
      </x:c>
      <x:c r="G118" s="8" t="str">
        <x:v>消耗时计费</x:v>
      </x:c>
      <x:c r="H118" s="14" t="n">
        <x:f>0</x:f>
        <x:v>0</x:v>
      </x:c>
      <x:c r="I118" s="11" t="n">
        <x:v>2</x:v>
      </x:c>
      <x:c r="J118" s="11" t="n">
        <x:v>1</x:v>
      </x:c>
      <x:c r="K118" s="8" t="str">
        <x:v>B_FLAM_S</x:v>
      </x:c>
      <x:c r="L118" s="8" t="str">
        <x:v>A_FUEL</x:v>
      </x:c>
      <x:c r="M118" s="8" t="str">
        <x:v>调用记本体和投送费，弹药射出/丢弃时另记；弹药背包属于同一装备。介质按游戏显示单位，不等同毫升/升。</x:v>
      </x:c>
      <x:c r="N118" s="8" t="str">
        <x:v>https://helldivers.wiki.gg/wiki/B/FLAM-80_Cremator</x:v>
      </x:c>
      <x:c r="O118" s="8" t="str">
        <x:v>Wiki背景已核对；价格为MOD标准</x:v>
      </x:c>
      <x:c r="P118" s="8" t="str">
        <x:v>B/FLAM-80 Cremator</x:v>
      </x:c>
      <x:c r="Q118" s="8" t="str">
        <x:v>中文Wiki用名</x:v>
      </x:c>
      <x:c r="R118" s="62" t="str">
        <x:v>大燃料背包供给双管重型火焰喷射器，可持续射击。</x:v>
      </x:c>
      <x:c r="S118" s="62" t="str">
        <x:v>按专用燃料、药剂或装药计价，设备与耗材分开；现有基价与对应构造相符。</x:v>
      </x:c>
      <x:c r="T118" s="62" t="str">
        <x:v>Wiki原文已逐页核对 · 2026-10-08</x:v>
      </x:c>
    </x:row>
    <x:row r="119" ht="52" customHeight="1">
      <x:c r="A119" s="2" t="str">
        <x:v>EQ-114</x:v>
      </x:c>
      <x:c r="B119" s="2" t="str">
        <x:v>支援武器</x:v>
      </x:c>
      <x:c r="C119" s="2" t="str">
        <x:v>MGX-42 弹雨风暴</x:v>
      </x:c>
      <x:c r="D119" s="15" t="n">
        <x:f>ROUND('定价参数'!$D$61*I119,2)</x:f>
        <x:v>1600</x:v>
      </x:c>
      <x:c r="E119" s="2" t="str">
        <x:v>发</x:v>
      </x:c>
      <x:c r="F119" s="15" t="n">
        <x:f>ROUND('定价参数'!$D$6*J119,2)</x:f>
        <x:v>1.05</x:v>
      </x:c>
      <x:c r="G119" s="2" t="str">
        <x:v>弹药已含调用价</x:v>
      </x:c>
      <x:c r="H119" s="15" t="n">
        <x:f>0</x:f>
        <x:v>0</x:v>
      </x:c>
      <x:c r="I119" s="11" t="n">
        <x:v>8</x:v>
      </x:c>
      <x:c r="J119" s="11" t="n">
        <x:v>3</x:v>
      </x:c>
      <x:c r="K119" s="2" t="str">
        <x:v>B_DISP</x:v>
      </x:c>
      <x:c r="L119" s="2" t="str">
        <x:v>A_RIFLE_L</x:v>
      </x:c>
      <x:c r="M119" s="2" t="str">
        <x:v>一次性装备按整包交付计费；射击显示成本分解，不再加到总额。</x:v>
      </x:c>
      <x:c r="N119" s="2" t="str">
        <x:v>https://helldivers.wiki.gg/wiki/MGX-42_Bullet_Storm</x:v>
      </x:c>
      <x:c r="O119" s="2" t="str">
        <x:v>Wiki背景已核对；价格为MOD标准</x:v>
      </x:c>
      <x:c r="P119" s="2" t="str">
        <x:v>MGX-42 Bullet Storm</x:v>
      </x:c>
      <x:c r="Q119" s="2" t="str">
        <x:v>参考译名</x:v>
      </x:c>
      <x:c r="R119" s="25" t="str">
        <x:v>电击发多管堆叠无壳弹武器，每次投送两具，每具300发。</x:v>
      </x:c>
      <x:c r="S119" s="25" t="str">
        <x:v>修正小口径无壳弹分类；多管堆叠及电击发属于一次性发射器本体。每次投送两具，共600发。</x:v>
      </x:c>
      <x:c r="T119" s="25" t="str">
        <x:v>Wiki原文已逐页核对 · 2026-10-08</x:v>
      </x:c>
    </x:row>
    <x:row r="120" ht="52" customHeight="1">
      <x:c r="A120" s="8" t="str">
        <x:v>EQ-115</x:v>
      </x:c>
      <x:c r="B120" s="8" t="str">
        <x:v>支援武器</x:v>
      </x:c>
      <x:c r="C120" s="8" t="str">
        <x:v>40-K 热熔枪</x:v>
      </x:c>
      <x:c r="D120" s="14" t="n">
        <x:f>ROUND('定价参数'!$D$70*I120,2)</x:f>
        <x:v>120000</x:v>
      </x:c>
      <x:c r="E120" s="8" t="str">
        <x:v>次放射</x:v>
      </x:c>
      <x:c r="F120" s="14" t="n">
        <x:f>ROUND('定价参数'!$D$33*J120,2)</x:f>
        <x:v>1200</x:v>
      </x:c>
      <x:c r="G120" s="8" t="str">
        <x:v>消耗时计费</x:v>
      </x:c>
      <x:c r="H120" s="14" t="n">
        <x:f>0</x:f>
        <x:v>0</x:v>
      </x:c>
      <x:c r="I120" s="11" t="n">
        <x:v>2</x:v>
      </x:c>
      <x:c r="J120" s="11" t="n">
        <x:v>1</x:v>
      </x:c>
      <x:c r="K120" s="8" t="str">
        <x:v>B_PLAS_S</x:v>
      </x:c>
      <x:c r="L120" s="8" t="str">
        <x:v>A_MELTA</x:v>
      </x:c>
      <x:c r="M120" s="8" t="str">
        <x:v>热熔武器按一次放射1200 MC；一匣三次共3600 MC。换匣丢弃未用放射份额也记消耗；不再加收整匣价。</x:v>
      </x:c>
      <x:c r="N120" s="8" t="str">
        <x:v>https://helldivers.wiki.gg/wiki/40-K_Meltagun</x:v>
      </x:c>
      <x:c r="O120" s="8" t="str">
        <x:v>Wiki背景已核对；价格为MOD标准</x:v>
      </x:c>
      <x:c r="P120" s="8" t="str">
        <x:v>40-K Meltagun</x:v>
      </x:c>
      <x:c r="Q120" s="8" t="str">
        <x:v>中文Wiki用名</x:v>
      </x:c>
      <x:c r="R120" s="62" t="str">
        <x:v>ST Construction制造的短距离高温热能束武器；每匣三次放射，不是无限供能激光枪。</x:v>
      </x:c>
      <x:c r="S120" s="62" t="str">
        <x:v>高温束发生器与三发能源匣均属高能技术；按一次放射计耗材，一匣三次，不能把一匣当一发。</x:v>
      </x:c>
      <x:c r="T120" s="62" t="str">
        <x:v>Wiki原文已逐页核对 · 2026-10-08</x:v>
      </x:c>
    </x:row>
    <x:row r="121" ht="52" customHeight="1">
      <x:c r="A121" s="2" t="str">
        <x:v>EQ-116</x:v>
      </x:c>
      <x:c r="B121" s="2" t="str">
        <x:v>投掷物</x:v>
      </x:c>
      <x:c r="C121" s="2" t="str">
        <x:v>G-12 高爆弹</x:v>
      </x:c>
      <x:c r="D121" s="15" t="n">
        <x:f>ROUND('定价参数'!$D$88*I121,2)</x:f>
        <x:v>45</x:v>
      </x:c>
      <x:c r="E121" s="2" t="str">
        <x:v>枚</x:v>
      </x:c>
      <x:c r="F121" s="15" t="n">
        <x:f>ROUND('定价参数'!$D$88*J121,2)</x:f>
        <x:v>45</x:v>
      </x:c>
      <x:c r="G121" s="2" t="str">
        <x:v>消耗时计费</x:v>
      </x:c>
      <x:c r="H121" s="15" t="n">
        <x:f>0</x:f>
        <x:v>0</x:v>
      </x:c>
      <x:c r="I121" s="11" t="n">
        <x:v>1</x:v>
      </x:c>
      <x:c r="J121" s="11" t="n">
        <x:v>1</x:v>
      </x:c>
      <x:c r="K121" s="2" t="str">
        <x:v>T_G-12</x:v>
      </x:c>
      <x:c r="L121" s="2" t="str">
        <x:v>T_G-12</x:v>
      </x:c>
      <x:c r="M121" s="2" t="str">
        <x:v>投出整枚计费；碎片、爆炸与持续效果不另外计弹药。</x:v>
      </x:c>
      <x:c r="N121" s="2" t="str">
        <x:v>https://github.com/SkyeShade/HD2Runtime/tree/96ab2d258d867a5df4f22bb7b3321d84d28de21d</x:v>
      </x:c>
      <x:c r="O121" s="2" t="str">
        <x:v>Wiki背景已核对；价格为MOD标准</x:v>
      </x:c>
      <x:c r="P121" s="2" t="str">
        <x:v>G-12 High Explosive</x:v>
      </x:c>
      <x:c r="Q121" s="2" t="str">
        <x:v>中文Wiki用名</x:v>
      </x:c>
      <x:c r="R121" s="25" t="str">
        <x:v>普通高爆手雷，集中爆炸威力。</x:v>
      </x:c>
      <x:c r="S121" s="25" t="str">
        <x:v>维持普通高爆装药与机械引信标准价。</x:v>
      </x:c>
      <x:c r="T121" s="25" t="str">
        <x:v>Wiki原文已逐页核对 · 2026-10-08</x:v>
      </x:c>
    </x:row>
    <x:row r="122" ht="52" customHeight="1">
      <x:c r="A122" s="8" t="str">
        <x:v>EQ-117</x:v>
      </x:c>
      <x:c r="B122" s="8" t="str">
        <x:v>投掷物</x:v>
      </x:c>
      <x:c r="C122" s="8" t="str">
        <x:v>G-6 破片弹</x:v>
      </x:c>
      <x:c r="D122" s="14" t="n">
        <x:f>ROUND('定价参数'!$D$89*I122,2)</x:f>
        <x:v>35</x:v>
      </x:c>
      <x:c r="E122" s="8" t="str">
        <x:v>枚</x:v>
      </x:c>
      <x:c r="F122" s="14" t="n">
        <x:f>ROUND('定价参数'!$D$89*J122,2)</x:f>
        <x:v>35</x:v>
      </x:c>
      <x:c r="G122" s="8" t="str">
        <x:v>消耗时计费</x:v>
      </x:c>
      <x:c r="H122" s="14" t="n">
        <x:f>0</x:f>
        <x:v>0</x:v>
      </x:c>
      <x:c r="I122" s="11" t="n">
        <x:v>1</x:v>
      </x:c>
      <x:c r="J122" s="11" t="n">
        <x:v>1</x:v>
      </x:c>
      <x:c r="K122" s="8" t="str">
        <x:v>T_G-6</x:v>
      </x:c>
      <x:c r="L122" s="8" t="str">
        <x:v>T_G-6</x:v>
      </x:c>
      <x:c r="M122" s="8" t="str">
        <x:v>投出整枚计费；碎片、爆炸与持续效果不另外计弹药。</x:v>
      </x:c>
      <x:c r="N122" s="8" t="str">
        <x:v>https://github.com/SkyeShade/HD2Runtime/tree/96ab2d258d867a5df4f22bb7b3321d84d28de21d</x:v>
      </x:c>
      <x:c r="O122" s="8" t="str">
        <x:v>Wiki背景已核对；价格为MOD标准</x:v>
      </x:c>
      <x:c r="P122" s="8" t="str">
        <x:v>G-6 Frag</x:v>
      </x:c>
      <x:c r="Q122" s="8" t="str">
        <x:v>中文Wiki用名</x:v>
      </x:c>
      <x:c r="R122" s="62" t="str">
        <x:v>反人员破片手雷，用破片扩大杀伤范围。</x:v>
      </x:c>
      <x:c r="S122" s="62" t="str">
        <x:v>维持常规破片壳及炸药标准价；破片不单独收费。</x:v>
      </x:c>
      <x:c r="T122" s="62" t="str">
        <x:v>Wiki原文已逐页核对 · 2026-10-08</x:v>
      </x:c>
    </x:row>
    <x:row r="123" ht="52" customHeight="1">
      <x:c r="A123" s="2" t="str">
        <x:v>EQ-118</x:v>
      </x:c>
      <x:c r="B123" s="2" t="str">
        <x:v>投掷物</x:v>
      </x:c>
      <x:c r="C123" s="2" t="str">
        <x:v>G-10 燃烧弹</x:v>
      </x:c>
      <x:c r="D123" s="15" t="n">
        <x:f>ROUND('定价参数'!$D$90*I123,2)</x:f>
        <x:v>55</x:v>
      </x:c>
      <x:c r="E123" s="2" t="str">
        <x:v>枚</x:v>
      </x:c>
      <x:c r="F123" s="15" t="n">
        <x:f>ROUND('定价参数'!$D$90*J123,2)</x:f>
        <x:v>55</x:v>
      </x:c>
      <x:c r="G123" s="2" t="str">
        <x:v>消耗时计费</x:v>
      </x:c>
      <x:c r="H123" s="15" t="n">
        <x:f>0</x:f>
        <x:v>0</x:v>
      </x:c>
      <x:c r="I123" s="11" t="n">
        <x:v>1</x:v>
      </x:c>
      <x:c r="J123" s="11" t="n">
        <x:v>1</x:v>
      </x:c>
      <x:c r="K123" s="2" t="str">
        <x:v>T_G-10</x:v>
      </x:c>
      <x:c r="L123" s="2" t="str">
        <x:v>T_G-10</x:v>
      </x:c>
      <x:c r="M123" s="2" t="str">
        <x:v>投出整枚计费；碎片、爆炸与持续效果不另外计弹药。</x:v>
      </x:c>
      <x:c r="N123" s="2" t="str">
        <x:v>https://github.com/SkyeShade/HD2Runtime/tree/96ab2d258d867a5df4f22bb7b3321d84d28de21d</x:v>
      </x:c>
      <x:c r="O123" s="2" t="str">
        <x:v>Wiki背景已核对；价格为MOD标准</x:v>
      </x:c>
      <x:c r="P123" s="2" t="str">
        <x:v>G-10 Incendiary</x:v>
      </x:c>
      <x:c r="Q123" s="2" t="str">
        <x:v>中文Wiki用名</x:v>
      </x:c>
      <x:c r="R123" s="25" t="str">
        <x:v>普通燃烧手雷，点燃爆炸范围内目标与地面。</x:v>
      </x:c>
      <x:c r="S123" s="25" t="str">
        <x:v>维持普通燃烧剂装药价格，区别于高能热熔装置。</x:v>
      </x:c>
      <x:c r="T123" s="25" t="str">
        <x:v>Wiki原文已逐页核对 · 2026-10-08</x:v>
      </x:c>
    </x:row>
    <x:row r="124" ht="52" customHeight="1">
      <x:c r="A124" s="8" t="str">
        <x:v>EQ-119</x:v>
      </x:c>
      <x:c r="B124" s="8" t="str">
        <x:v>投掷物</x:v>
      </x:c>
      <x:c r="C124" s="8" t="str">
        <x:v>TED-63 炸药</x:v>
      </x:c>
      <x:c r="D124" s="14" t="n">
        <x:f>ROUND('定价参数'!$D$91*I124,2)</x:f>
        <x:v>120</x:v>
      </x:c>
      <x:c r="E124" s="8" t="str">
        <x:v>枚</x:v>
      </x:c>
      <x:c r="F124" s="14" t="n">
        <x:f>ROUND('定价参数'!$D$91*J124,2)</x:f>
        <x:v>120</x:v>
      </x:c>
      <x:c r="G124" s="8" t="str">
        <x:v>消耗时计费</x:v>
      </x:c>
      <x:c r="H124" s="14" t="n">
        <x:f>0</x:f>
        <x:v>0</x:v>
      </x:c>
      <x:c r="I124" s="11" t="n">
        <x:v>1</x:v>
      </x:c>
      <x:c r="J124" s="11" t="n">
        <x:v>1</x:v>
      </x:c>
      <x:c r="K124" s="8" t="str">
        <x:v>T_TED-63</x:v>
      </x:c>
      <x:c r="L124" s="8" t="str">
        <x:v>T_TED-63</x:v>
      </x:c>
      <x:c r="M124" s="8" t="str">
        <x:v>投出整枚计费；碎片、爆炸与持续效果不另外计弹药。</x:v>
      </x:c>
      <x:c r="N124" s="8" t="str">
        <x:v>https://github.com/SkyeShade/HD2Runtime/tree/96ab2d258d867a5df4f22bb7b3321d84d28de21d</x:v>
      </x:c>
      <x:c r="O124" s="8" t="str">
        <x:v>Wiki背景已核对；价格为MOD标准</x:v>
      </x:c>
      <x:c r="P124" s="8" t="str">
        <x:v>TED-63 Dynamite</x:v>
      </x:c>
      <x:c r="Q124" s="8" t="str">
        <x:v>中文Wiki用名</x:v>
      </x:c>
      <x:c r="R124" s="62" t="str">
        <x:v>带可编程计时器的大范围燃烧爆炸装置，非普通原始炸药棒。</x:v>
      </x:c>
      <x:c r="S124" s="62" t="str">
        <x:v>加入可编程引信与燃烧载荷成本；未按传统炸药棒处理。</x:v>
      </x:c>
      <x:c r="T124" s="62" t="str">
        <x:v>Wiki原文已逐页核对 · 2026-10-08</x:v>
      </x:c>
    </x:row>
    <x:row r="125" ht="52" customHeight="1">
      <x:c r="A125" s="2" t="str">
        <x:v>EQ-120</x:v>
      </x:c>
      <x:c r="B125" s="2" t="str">
        <x:v>投掷物</x:v>
      </x:c>
      <x:c r="C125" s="2" t="str">
        <x:v>G-7 菠萝</x:v>
      </x:c>
      <x:c r="D125" s="15" t="n">
        <x:f>ROUND('定价参数'!$D$92*I125,2)</x:f>
        <x:v>800</x:v>
      </x:c>
      <x:c r="E125" s="2" t="str">
        <x:v>枚</x:v>
      </x:c>
      <x:c r="F125" s="15" t="n">
        <x:f>ROUND('定价参数'!$D$92*J125,2)</x:f>
        <x:v>800</x:v>
      </x:c>
      <x:c r="G125" s="2" t="str">
        <x:v>消耗时计费</x:v>
      </x:c>
      <x:c r="H125" s="15" t="n">
        <x:f>0</x:f>
        <x:v>0</x:v>
      </x:c>
      <x:c r="I125" s="11" t="n">
        <x:v>1</x:v>
      </x:c>
      <x:c r="J125" s="11" t="n">
        <x:v>1</x:v>
      </x:c>
      <x:c r="K125" s="2" t="str">
        <x:v>T_G-7</x:v>
      </x:c>
      <x:c r="L125" s="2" t="str">
        <x:v>T_G-7</x:v>
      </x:c>
      <x:c r="M125" s="2" t="str">
        <x:v>投出整枚计费；碎片、爆炸与持续效果不另外计弹药。</x:v>
      </x:c>
      <x:c r="N125" s="2" t="str">
        <x:v>https://github.com/SkyeShade/HD2Runtime/tree/96ab2d258d867a5df4f22bb7b3321d84d28de21d</x:v>
      </x:c>
      <x:c r="O125" s="2" t="str">
        <x:v>Wiki背景已核对；价格为MOD标准</x:v>
      </x:c>
      <x:c r="P125" s="2" t="str">
        <x:v>G-7 Pineapple</x:v>
      </x:c>
      <x:c r="Q125" s="2" t="str">
        <x:v>中文Wiki用名</x:v>
      </x:c>
      <x:c r="R125" s="25" t="str">
        <x:v>集束破片手雷，一枚母弹释放18枚会再次爆炸的子弹药。</x:v>
      </x:c>
      <x:c r="S125" s="25" t="str">
        <x:v>18枚子弹药各含触发和装药，加上母弹撒布机构；800 MC是一整枚母弹价。</x:v>
      </x:c>
      <x:c r="T125" s="25" t="str">
        <x:v>Wiki原文已逐页核对 · 2026-10-08</x:v>
      </x:c>
    </x:row>
    <x:row r="126" ht="52" customHeight="1">
      <x:c r="A126" s="8" t="str">
        <x:v>EQ-121</x:v>
      </x:c>
      <x:c r="B126" s="8" t="str">
        <x:v>投掷物</x:v>
      </x:c>
      <x:c r="C126" s="8" t="str">
        <x:v>G-16 冲击弹</x:v>
      </x:c>
      <x:c r="D126" s="14" t="n">
        <x:f>ROUND('定价参数'!$D$93*I126,2)</x:f>
        <x:v>60</x:v>
      </x:c>
      <x:c r="E126" s="8" t="str">
        <x:v>枚</x:v>
      </x:c>
      <x:c r="F126" s="14" t="n">
        <x:f>ROUND('定价参数'!$D$93*J126,2)</x:f>
        <x:v>60</x:v>
      </x:c>
      <x:c r="G126" s="8" t="str">
        <x:v>消耗时计费</x:v>
      </x:c>
      <x:c r="H126" s="14" t="n">
        <x:f>0</x:f>
        <x:v>0</x:v>
      </x:c>
      <x:c r="I126" s="11" t="n">
        <x:v>1</x:v>
      </x:c>
      <x:c r="J126" s="11" t="n">
        <x:v>1</x:v>
      </x:c>
      <x:c r="K126" s="8" t="str">
        <x:v>T_G-16</x:v>
      </x:c>
      <x:c r="L126" s="8" t="str">
        <x:v>T_G-16</x:v>
      </x:c>
      <x:c r="M126" s="8" t="str">
        <x:v>投出整枚计费；碎片、爆炸与持续效果不另外计弹药。</x:v>
      </x:c>
      <x:c r="N126" s="8" t="str">
        <x:v>https://github.com/SkyeShade/HD2Runtime/tree/96ab2d258d867a5df4f22bb7b3321d84d28de21d</x:v>
      </x:c>
      <x:c r="O126" s="8" t="str">
        <x:v>Wiki背景已核对；价格为MOD标准</x:v>
      </x:c>
      <x:c r="P126" s="8" t="str">
        <x:v>G-16 Impact</x:v>
      </x:c>
      <x:c r="Q126" s="8" t="str">
        <x:v>中文Wiki用名</x:v>
      </x:c>
      <x:c r="R126" s="62" t="str">
        <x:v>首次撞击时立即引爆的高爆手雷。</x:v>
      </x:c>
      <x:c r="S126" s="62" t="str">
        <x:v>撞击触发机构略高于普通计时高爆手雷。</x:v>
      </x:c>
      <x:c r="T126" s="62" t="str">
        <x:v>Wiki原文已逐页核对 · 2026-10-08</x:v>
      </x:c>
    </x:row>
    <x:row r="127" ht="52" customHeight="1">
      <x:c r="A127" s="2" t="str">
        <x:v>EQ-122</x:v>
      </x:c>
      <x:c r="B127" s="2" t="str">
        <x:v>投掷物</x:v>
      </x:c>
      <x:c r="C127" s="2" t="str">
        <x:v>G-3 烟雾弹</x:v>
      </x:c>
      <x:c r="D127" s="15" t="n">
        <x:f>ROUND('定价参数'!$D$94*I127,2)</x:f>
        <x:v>40</x:v>
      </x:c>
      <x:c r="E127" s="2" t="str">
        <x:v>枚</x:v>
      </x:c>
      <x:c r="F127" s="15" t="n">
        <x:f>ROUND('定价参数'!$D$94*J127,2)</x:f>
        <x:v>40</x:v>
      </x:c>
      <x:c r="G127" s="2" t="str">
        <x:v>消耗时计费</x:v>
      </x:c>
      <x:c r="H127" s="15" t="n">
        <x:f>0</x:f>
        <x:v>0</x:v>
      </x:c>
      <x:c r="I127" s="11" t="n">
        <x:v>1</x:v>
      </x:c>
      <x:c r="J127" s="11" t="n">
        <x:v>1</x:v>
      </x:c>
      <x:c r="K127" s="2" t="str">
        <x:v>T_G-3</x:v>
      </x:c>
      <x:c r="L127" s="2" t="str">
        <x:v>T_G-3</x:v>
      </x:c>
      <x:c r="M127" s="2" t="str">
        <x:v>投出整枚计费；碎片、爆炸与持续效果不另外计弹药。</x:v>
      </x:c>
      <x:c r="N127" s="2" t="str">
        <x:v>https://github.com/SkyeShade/HD2Runtime/tree/96ab2d258d867a5df4f22bb7b3321d84d28de21d</x:v>
      </x:c>
      <x:c r="O127" s="2" t="str">
        <x:v>Wiki背景已核对；价格为MOD标准</x:v>
      </x:c>
      <x:c r="P127" s="2" t="str">
        <x:v>G-3 Smoke</x:v>
      </x:c>
      <x:c r="Q127" s="2" t="str">
        <x:v>中文Wiki用名</x:v>
      </x:c>
      <x:c r="R127" s="25" t="str">
        <x:v>生成浓烟屏障以遮蔽视线的手雷。</x:v>
      </x:c>
      <x:c r="S127" s="25" t="str">
        <x:v>维持烟剂、壳体与引信价格；无复杂主动传感器。</x:v>
      </x:c>
      <x:c r="T127" s="25" t="str">
        <x:v>Wiki原文已逐页核对 · 2026-10-08</x:v>
      </x:c>
    </x:row>
    <x:row r="128" ht="52" customHeight="1">
      <x:c r="A128" s="8" t="str">
        <x:v>EQ-123</x:v>
      </x:c>
      <x:c r="B128" s="8" t="str">
        <x:v>投掷物</x:v>
      </x:c>
      <x:c r="C128" s="8" t="str">
        <x:v>G-23 眩晕弹</x:v>
      </x:c>
      <x:c r="D128" s="14" t="n">
        <x:f>ROUND('定价参数'!$D$95*I128,2)</x:f>
        <x:v>350</x:v>
      </x:c>
      <x:c r="E128" s="8" t="str">
        <x:v>枚</x:v>
      </x:c>
      <x:c r="F128" s="14" t="n">
        <x:f>ROUND('定价参数'!$D$95*J128,2)</x:f>
        <x:v>350</x:v>
      </x:c>
      <x:c r="G128" s="8" t="str">
        <x:v>消耗时计费</x:v>
      </x:c>
      <x:c r="H128" s="14" t="n">
        <x:f>0</x:f>
        <x:v>0</x:v>
      </x:c>
      <x:c r="I128" s="11" t="n">
        <x:v>1</x:v>
      </x:c>
      <x:c r="J128" s="11" t="n">
        <x:v>1</x:v>
      </x:c>
      <x:c r="K128" s="8" t="str">
        <x:v>T_G-23</x:v>
      </x:c>
      <x:c r="L128" s="8" t="str">
        <x:v>T_G-23</x:v>
      </x:c>
      <x:c r="M128" s="8" t="str">
        <x:v>投出整枚计费；碎片、爆炸与持续效果不另外计弹药。</x:v>
      </x:c>
      <x:c r="N128" s="8" t="str">
        <x:v>https://github.com/SkyeShade/HD2Runtime/tree/96ab2d258d867a5df4f22bb7b3321d84d28de21d</x:v>
      </x:c>
      <x:c r="O128" s="8" t="str">
        <x:v>Wiki背景已核对；价格为MOD标准</x:v>
      </x:c>
      <x:c r="P128" s="8" t="str">
        <x:v>G-23 Stun</x:v>
      </x:c>
      <x:c r="Q128" s="8" t="str">
        <x:v>中文Wiki用名</x:v>
      </x:c>
      <x:c r="R128" s="62" t="str">
        <x:v>在作用范围内暂时眩晕目标的专用手雷。</x:v>
      </x:c>
      <x:c r="S128" s="62" t="str">
        <x:v>眩晕功能载荷提高价格，不仅按外壳和炸药。</x:v>
      </x:c>
      <x:c r="T128" s="62" t="str">
        <x:v>Wiki原文已逐页核对 · 2026-10-08</x:v>
      </x:c>
    </x:row>
    <x:row r="129" ht="52" customHeight="1">
      <x:c r="A129" s="2" t="str">
        <x:v>EQ-124</x:v>
      </x:c>
      <x:c r="B129" s="2" t="str">
        <x:v>投掷物</x:v>
      </x:c>
      <x:c r="C129" s="2" t="str">
        <x:v>G-123 铝热弹</x:v>
      </x:c>
      <x:c r="D129" s="15" t="n">
        <x:f>ROUND('定价参数'!$D$96*I129,2)</x:f>
        <x:v>450</x:v>
      </x:c>
      <x:c r="E129" s="2" t="str">
        <x:v>枚</x:v>
      </x:c>
      <x:c r="F129" s="15" t="n">
        <x:f>ROUND('定价参数'!$D$96*J129,2)</x:f>
        <x:v>450</x:v>
      </x:c>
      <x:c r="G129" s="2" t="str">
        <x:v>消耗时计费</x:v>
      </x:c>
      <x:c r="H129" s="15" t="n">
        <x:f>0</x:f>
        <x:v>0</x:v>
      </x:c>
      <x:c r="I129" s="11" t="n">
        <x:v>1</x:v>
      </x:c>
      <x:c r="J129" s="11" t="n">
        <x:v>1</x:v>
      </x:c>
      <x:c r="K129" s="2" t="str">
        <x:v>T_G-123</x:v>
      </x:c>
      <x:c r="L129" s="2" t="str">
        <x:v>T_G-123</x:v>
      </x:c>
      <x:c r="M129" s="2" t="str">
        <x:v>投出整枚计费；碎片、爆炸与持续效果不另外计弹药。</x:v>
      </x:c>
      <x:c r="N129" s="2" t="str">
        <x:v>https://github.com/SkyeShade/HD2Runtime/tree/96ab2d258d867a5df4f22bb7b3321d84d28de21d</x:v>
      </x:c>
      <x:c r="O129" s="2" t="str">
        <x:v>Wiki背景已核对；价格为MOD标准</x:v>
      </x:c>
      <x:c r="P129" s="2" t="str">
        <x:v>G-123 Thermite</x:v>
      </x:c>
      <x:c r="Q129" s="2" t="str">
        <x:v>中文Wiki用名</x:v>
      </x:c>
      <x:c r="R129" s="25" t="str">
        <x:v>粘附后以约2000°C燃烧的铝热手雷，可烧穿装甲。</x:v>
      </x:c>
      <x:c r="S129" s="25" t="str">
        <x:v>粘附机构和高温铝热战斗部提高价格；化学燃烧不是核爆。</x:v>
      </x:c>
      <x:c r="T129" s="25" t="str">
        <x:v>Wiki原文已逐页核对 · 2026-10-08</x:v>
      </x:c>
    </x:row>
    <x:row r="130" ht="52" customHeight="1">
      <x:c r="A130" s="8" t="str">
        <x:v>EQ-125</x:v>
      </x:c>
      <x:c r="B130" s="8" t="str">
        <x:v>投掷物</x:v>
      </x:c>
      <x:c r="C130" s="8" t="str">
        <x:v>G-13 燃烧冲击弹</x:v>
      </x:c>
      <x:c r="D130" s="14" t="n">
        <x:f>ROUND('定价参数'!$D$97*I130,2)</x:f>
        <x:v>120</x:v>
      </x:c>
      <x:c r="E130" s="8" t="str">
        <x:v>枚</x:v>
      </x:c>
      <x:c r="F130" s="14" t="n">
        <x:f>ROUND('定价参数'!$D$97*J130,2)</x:f>
        <x:v>120</x:v>
      </x:c>
      <x:c r="G130" s="8" t="str">
        <x:v>消耗时计费</x:v>
      </x:c>
      <x:c r="H130" s="14" t="n">
        <x:f>0</x:f>
        <x:v>0</x:v>
      </x:c>
      <x:c r="I130" s="11" t="n">
        <x:v>1</x:v>
      </x:c>
      <x:c r="J130" s="11" t="n">
        <x:v>1</x:v>
      </x:c>
      <x:c r="K130" s="8" t="str">
        <x:v>T_G-13</x:v>
      </x:c>
      <x:c r="L130" s="8" t="str">
        <x:v>T_G-13</x:v>
      </x:c>
      <x:c r="M130" s="8" t="str">
        <x:v>投出整枚计费；碎片、爆炸与持续效果不另外计弹药。</x:v>
      </x:c>
      <x:c r="N130" s="8" t="str">
        <x:v>https://github.com/SkyeShade/HD2Runtime/tree/96ab2d258d867a5df4f22bb7b3321d84d28de21d</x:v>
      </x:c>
      <x:c r="O130" s="8" t="str">
        <x:v>Wiki背景已核对；价格为MOD标准</x:v>
      </x:c>
      <x:c r="P130" s="8" t="str">
        <x:v>G-13 Incendiary Impact</x:v>
      </x:c>
      <x:c r="Q130" s="8" t="str">
        <x:v>中文Wiki用名</x:v>
      </x:c>
      <x:c r="R130" s="62" t="str">
        <x:v>撞击即爆，并释放自燃白磷。</x:v>
      </x:c>
      <x:c r="S130" s="62" t="str">
        <x:v>撞击引信加自燃白磷载荷，高于普通燃烧手雷。</x:v>
      </x:c>
      <x:c r="T130" s="62" t="str">
        <x:v>Wiki原文已逐页核对 · 2026-10-08</x:v>
      </x:c>
    </x:row>
    <x:row r="131" ht="52" customHeight="1">
      <x:c r="A131" s="2" t="str">
        <x:v>EQ-126</x:v>
      </x:c>
      <x:c r="B131" s="2" t="str">
        <x:v>投掷物</x:v>
      </x:c>
      <x:c r="C131" s="2" t="str">
        <x:v>K-2 飞刀</x:v>
      </x:c>
      <x:c r="D131" s="15" t="n">
        <x:f>ROUND('定价参数'!$D$98*I131,2)</x:f>
        <x:v>20</x:v>
      </x:c>
      <x:c r="E131" s="2" t="str">
        <x:v>把</x:v>
      </x:c>
      <x:c r="F131" s="15" t="n">
        <x:f>ROUND('定价参数'!$D$98*J131,2)</x:f>
        <x:v>20</x:v>
      </x:c>
      <x:c r="G131" s="2" t="str">
        <x:v>遗失/报废整把计费</x:v>
      </x:c>
      <x:c r="H131" s="15" t="n">
        <x:f>0</x:f>
        <x:v>0</x:v>
      </x:c>
      <x:c r="I131" s="11" t="n">
        <x:v>1</x:v>
      </x:c>
      <x:c r="J131" s="11" t="n">
        <x:v>1</x:v>
      </x:c>
      <x:c r="K131" s="2" t="str">
        <x:v>T_K-2</x:v>
      </x:c>
      <x:c r="L131" s="2" t="str">
        <x:v>T_K-2</x:v>
      </x:c>
      <x:c r="M131" s="2" t="str">
        <x:v>整把刀具无电子引导，保留20 MC。回收后再投不重复采购，遗失/报废才计一次。</x:v>
      </x:c>
      <x:c r="N131" s="2" t="str">
        <x:v>https://github.com/SkyeShade/HD2Runtime/tree/96ab2d258d867a5df4f22bb7b3321d84d28de21d</x:v>
      </x:c>
      <x:c r="O131" s="2" t="str">
        <x:v>Wiki背景已核对；价格为MOD标准</x:v>
      </x:c>
      <x:c r="P131" s="2" t="str">
        <x:v>K-2 Throwing Knife</x:v>
      </x:c>
      <x:c r="Q131" s="2" t="str">
        <x:v>中文Wiki用名</x:v>
      </x:c>
      <x:c r="R131" s="25" t="str">
        <x:v>用于无声击杀的投掷刀具。</x:v>
      </x:c>
      <x:c r="S131" s="25" t="str">
        <x:v>整把刀具无电子引导，保留20 MC。回收后再投不重复采购，遗失/报废才计一次。</x:v>
      </x:c>
      <x:c r="T131" s="25" t="str">
        <x:v>Wiki原文已逐页核对 · 2026-10-08</x:v>
      </x:c>
    </x:row>
    <x:row r="132" ht="52" customHeight="1">
      <x:c r="A132" s="8" t="str">
        <x:v>EQ-127</x:v>
      </x:c>
      <x:c r="B132" s="8" t="str">
        <x:v>投掷物</x:v>
      </x:c>
      <x:c r="C132" s="8" t="str">
        <x:v>G-4 毒气榴弹</x:v>
      </x:c>
      <x:c r="D132" s="14" t="n">
        <x:f>ROUND('定价参数'!$D$99*I132,2)</x:f>
        <x:v>180</x:v>
      </x:c>
      <x:c r="E132" s="8" t="str">
        <x:v>枚</x:v>
      </x:c>
      <x:c r="F132" s="14" t="n">
        <x:f>ROUND('定价参数'!$D$99*J132,2)</x:f>
        <x:v>180</x:v>
      </x:c>
      <x:c r="G132" s="8" t="str">
        <x:v>消耗时计费</x:v>
      </x:c>
      <x:c r="H132" s="14" t="n">
        <x:f>0</x:f>
        <x:v>0</x:v>
      </x:c>
      <x:c r="I132" s="11" t="n">
        <x:v>1</x:v>
      </x:c>
      <x:c r="J132" s="11" t="n">
        <x:v>1</x:v>
      </x:c>
      <x:c r="K132" s="8" t="str">
        <x:v>T_G-4</x:v>
      </x:c>
      <x:c r="L132" s="8" t="str">
        <x:v>T_G-4</x:v>
      </x:c>
      <x:c r="M132" s="8" t="str">
        <x:v>投出整枚计费；碎片、爆炸与持续效果不另外计弹药。</x:v>
      </x:c>
      <x:c r="N132" s="8" t="str">
        <x:v>https://github.com/SkyeShade/HD2Runtime/tree/96ab2d258d867a5df4f22bb7b3321d84d28de21d</x:v>
      </x:c>
      <x:c r="O132" s="8" t="str">
        <x:v>Wiki背景已核对；价格为MOD标准</x:v>
      </x:c>
      <x:c r="P132" s="8" t="str">
        <x:v>G-4 Gas</x:v>
      </x:c>
      <x:c r="Q132" s="8" t="str">
        <x:v>中文Wiki用名</x:v>
      </x:c>
      <x:c r="R132" s="62" t="str">
        <x:v>释放可致盲、减速有机与无机目标的毒气。</x:v>
      </x:c>
      <x:c r="S132" s="62" t="str">
        <x:v>对有机与机械目标均有效的腐蚀药剂及释放容器增加成本。</x:v>
      </x:c>
      <x:c r="T132" s="62" t="str">
        <x:v>Wiki原文已逐页核对 · 2026-10-08</x:v>
      </x:c>
    </x:row>
    <x:row r="133" ht="52" customHeight="1">
      <x:c r="A133" s="2" t="str">
        <x:v>EQ-128</x:v>
      </x:c>
      <x:c r="B133" s="2" t="str">
        <x:v>投掷物</x:v>
      </x:c>
      <x:c r="C133" s="2" t="str">
        <x:v>G-50 寻踪者</x:v>
      </x:c>
      <x:c r="D133" s="15" t="n">
        <x:f>ROUND('定价参数'!$D$100*I133,2)</x:f>
        <x:v>4000</x:v>
      </x:c>
      <x:c r="E133" s="2" t="str">
        <x:v>枚</x:v>
      </x:c>
      <x:c r="F133" s="15" t="n">
        <x:f>ROUND('定价参数'!$D$100*J133,2)</x:f>
        <x:v>4000</x:v>
      </x:c>
      <x:c r="G133" s="2" t="str">
        <x:v>消耗时计费</x:v>
      </x:c>
      <x:c r="H133" s="15" t="n">
        <x:f>0</x:f>
        <x:v>0</x:v>
      </x:c>
      <x:c r="I133" s="11" t="n">
        <x:v>1</x:v>
      </x:c>
      <x:c r="J133" s="11" t="n">
        <x:v>1</x:v>
      </x:c>
      <x:c r="K133" s="2" t="str">
        <x:v>T_G-50</x:v>
      </x:c>
      <x:c r="L133" s="2" t="str">
        <x:v>T_G-50</x:v>
      </x:c>
      <x:c r="M133" s="2" t="str">
        <x:v>投出整枚计费；碎片、爆炸与持续效果不另外计弹药。</x:v>
      </x:c>
      <x:c r="N133" s="2" t="str">
        <x:v>https://github.com/SkyeShade/HD2Runtime/tree/96ab2d258d867a5df4f22bb7b3321d84d28de21d</x:v>
      </x:c>
      <x:c r="O133" s="2" t="str">
        <x:v>Wiki背景已核对；价格为MOD标准</x:v>
      </x:c>
      <x:c r="P133" s="2" t="str">
        <x:v>G-50 Seeker</x:v>
      </x:c>
      <x:c r="Q133" s="2" t="str">
        <x:v>中文Wiki用名</x:v>
      </x:c>
      <x:c r="R133" s="25" t="str">
        <x:v>跟随使用者并寻找附近敌人的自毁投送无人机，电池寿命有限。</x:v>
      </x:c>
      <x:c r="S133" s="25" t="str">
        <x:v>整套自主探测、飞行、电池与爆炸载荷，按一次性无人机处理。</x:v>
      </x:c>
      <x:c r="T133" s="25" t="str">
        <x:v>Wiki原文已逐页核对 · 2026-10-08</x:v>
      </x:c>
    </x:row>
    <x:row r="134" ht="52" customHeight="1">
      <x:c r="A134" s="8" t="str">
        <x:v>EQ-129</x:v>
      </x:c>
      <x:c r="B134" s="8" t="str">
        <x:v>投掷物</x:v>
      </x:c>
      <x:c r="C134" s="8" t="str">
        <x:v>G-142 烟花术</x:v>
      </x:c>
      <x:c r="D134" s="14" t="n">
        <x:f>ROUND('定价参数'!$D$101*I134,2)</x:f>
        <x:v>60</x:v>
      </x:c>
      <x:c r="E134" s="8" t="str">
        <x:v>枚</x:v>
      </x:c>
      <x:c r="F134" s="14" t="n">
        <x:f>ROUND('定价参数'!$D$101*J134,2)</x:f>
        <x:v>60</x:v>
      </x:c>
      <x:c r="G134" s="8" t="str">
        <x:v>消耗时计费</x:v>
      </x:c>
      <x:c r="H134" s="14" t="n">
        <x:f>0</x:f>
        <x:v>0</x:v>
      </x:c>
      <x:c r="I134" s="11" t="n">
        <x:v>1</x:v>
      </x:c>
      <x:c r="J134" s="11" t="n">
        <x:v>1</x:v>
      </x:c>
      <x:c r="K134" s="8" t="str">
        <x:v>T_G-142</x:v>
      </x:c>
      <x:c r="L134" s="8" t="str">
        <x:v>T_G-142</x:v>
      </x:c>
      <x:c r="M134" s="8" t="str">
        <x:v>投出整枚计费；碎片、爆炸与持续效果不另外计弹药。</x:v>
      </x:c>
      <x:c r="N134" s="8" t="str">
        <x:v>https://github.com/SkyeShade/HD2Runtime/tree/96ab2d258d867a5df4f22bb7b3321d84d28de21d</x:v>
      </x:c>
      <x:c r="O134" s="8" t="str">
        <x:v>Wiki背景已核对；价格为MOD标准</x:v>
      </x:c>
      <x:c r="P134" s="8" t="str">
        <x:v>G-142 Pyrotech</x:v>
      </x:c>
      <x:c r="Q134" s="8" t="str">
        <x:v>中文Wiki用名</x:v>
      </x:c>
      <x:c r="R134" s="62" t="str">
        <x:v>改装烟花，先喷溅火花后爆炸，着重燃烧。</x:v>
      </x:c>
      <x:c r="S134" s="62" t="str">
        <x:v>原文为改装烟花，降低不必要的高科技溢价。</x:v>
      </x:c>
      <x:c r="T134" s="62" t="str">
        <x:v>Wiki原文已逐页核对 · 2026-10-08</x:v>
      </x:c>
    </x:row>
    <x:row r="135" ht="52" customHeight="1">
      <x:c r="A135" s="2" t="str">
        <x:v>EQ-130</x:v>
      </x:c>
      <x:c r="B135" s="2" t="str">
        <x:v>投掷物</x:v>
      </x:c>
      <x:c r="C135" s="2" t="str">
        <x:v>G-109 海胆</x:v>
      </x:c>
      <x:c r="D135" s="15" t="n">
        <x:f>ROUND('定价参数'!$D$102*I135,2)</x:f>
        <x:v>650</x:v>
      </x:c>
      <x:c r="E135" s="2" t="str">
        <x:v>枚</x:v>
      </x:c>
      <x:c r="F135" s="15" t="n">
        <x:f>ROUND('定价参数'!$D$102*J135,2)</x:f>
        <x:v>650</x:v>
      </x:c>
      <x:c r="G135" s="2" t="str">
        <x:v>消耗时计费</x:v>
      </x:c>
      <x:c r="H135" s="15" t="n">
        <x:f>0</x:f>
        <x:v>0</x:v>
      </x:c>
      <x:c r="I135" s="11" t="n">
        <x:v>1</x:v>
      </x:c>
      <x:c r="J135" s="11" t="n">
        <x:v>1</x:v>
      </x:c>
      <x:c r="K135" s="2" t="str">
        <x:v>T_G-109</x:v>
      </x:c>
      <x:c r="L135" s="2" t="str">
        <x:v>T_G-109</x:v>
      </x:c>
      <x:c r="M135" s="2" t="str">
        <x:v>投出整枚计费；碎片、爆炸与持续效果不另外计弹药。</x:v>
      </x:c>
      <x:c r="N135" s="2" t="str">
        <x:v>https://github.com/SkyeShade/HD2Runtime/tree/96ab2d258d867a5df4f22bb7b3321d84d28de21d</x:v>
      </x:c>
      <x:c r="O135" s="2" t="str">
        <x:v>Wiki背景已核对；价格为MOD标准</x:v>
      </x:c>
      <x:c r="P135" s="2" t="str">
        <x:v>G-109 Urchin</x:v>
      </x:c>
      <x:c r="Q135" s="2" t="str">
        <x:v>中文Wiki用名</x:v>
      </x:c>
      <x:c r="R135" s="25" t="str">
        <x:v>可附着目标并重复释放电击脉冲的装置。</x:v>
      </x:c>
      <x:c r="S135" s="25" t="str">
        <x:v>粘附和重复脉冲供电装置增加电子组件成本。</x:v>
      </x:c>
      <x:c r="T135" s="25" t="str">
        <x:v>Wiki原文已逐页核对 · 2026-10-08</x:v>
      </x:c>
    </x:row>
    <x:row r="136" ht="52" customHeight="1">
      <x:c r="A136" s="8" t="str">
        <x:v>EQ-131</x:v>
      </x:c>
      <x:c r="B136" s="8" t="str">
        <x:v>投掷物</x:v>
      </x:c>
      <x:c r="C136" s="8" t="str">
        <x:v>G-31 电弧</x:v>
      </x:c>
      <x:c r="D136" s="14" t="n">
        <x:f>ROUND('定价参数'!$D$103*I136,2)</x:f>
        <x:v>1800</x:v>
      </x:c>
      <x:c r="E136" s="8" t="str">
        <x:v>枚</x:v>
      </x:c>
      <x:c r="F136" s="14" t="n">
        <x:f>ROUND('定价参数'!$D$103*J136,2)</x:f>
        <x:v>1800</x:v>
      </x:c>
      <x:c r="G136" s="8" t="str">
        <x:v>消耗时计费</x:v>
      </x:c>
      <x:c r="H136" s="14" t="n">
        <x:f>0</x:f>
        <x:v>0</x:v>
      </x:c>
      <x:c r="I136" s="11" t="n">
        <x:v>1</x:v>
      </x:c>
      <x:c r="J136" s="11" t="n">
        <x:v>1</x:v>
      </x:c>
      <x:c r="K136" s="8" t="str">
        <x:v>T_G-31</x:v>
      </x:c>
      <x:c r="L136" s="8" t="str">
        <x:v>T_G-31</x:v>
      </x:c>
      <x:c r="M136" s="8" t="str">
        <x:v>投出整枚计费；碎片、爆炸与持续效果不另外计弹药。</x:v>
      </x:c>
      <x:c r="N136" s="8" t="str">
        <x:v>https://github.com/SkyeShade/HD2Runtime/tree/96ab2d258d867a5df4f22bb7b3321d84d28de21d</x:v>
      </x:c>
      <x:c r="O136" s="8" t="str">
        <x:v>Wiki背景已核对；价格为MOD标准</x:v>
      </x:c>
      <x:c r="P136" s="8" t="str">
        <x:v>G-31 Arc</x:v>
      </x:c>
      <x:c r="Q136" s="8" t="str">
        <x:v>中文Wiki用名</x:v>
      </x:c>
      <x:c r="R136" s="62" t="str">
        <x:v>弹跳装置，每次落地可释放高压电弧。</x:v>
      </x:c>
      <x:c r="S136" s="62" t="str">
        <x:v>可重复放电的高压储能与弹跳结构，区别于普通引爆手雷。</x:v>
      </x:c>
      <x:c r="T136" s="62" t="str">
        <x:v>Wiki原文已逐页核对 · 2026-10-08</x:v>
      </x:c>
    </x:row>
    <x:row r="137" ht="52" customHeight="1">
      <x:c r="A137" s="2" t="str">
        <x:v>EQ-132</x:v>
      </x:c>
      <x:c r="B137" s="2" t="str">
        <x:v>投掷物</x:v>
      </x:c>
      <x:c r="C137" s="2" t="str">
        <x:v>TM-1 诱饵地雷</x:v>
      </x:c>
      <x:c r="D137" s="15" t="n">
        <x:f>ROUND('定价参数'!$D$104*I137,2)</x:f>
        <x:v>2500</x:v>
      </x:c>
      <x:c r="E137" s="2" t="str">
        <x:v>枚</x:v>
      </x:c>
      <x:c r="F137" s="15" t="n">
        <x:f>ROUND('定价参数'!$D$104*J137,2)</x:f>
        <x:v>2500</x:v>
      </x:c>
      <x:c r="G137" s="2" t="str">
        <x:v>消耗时计费</x:v>
      </x:c>
      <x:c r="H137" s="15" t="n">
        <x:f>0</x:f>
        <x:v>0</x:v>
      </x:c>
      <x:c r="I137" s="11" t="n">
        <x:v>1</x:v>
      </x:c>
      <x:c r="J137" s="11" t="n">
        <x:v>1</x:v>
      </x:c>
      <x:c r="K137" s="2" t="str">
        <x:v>T_TM-1</x:v>
      </x:c>
      <x:c r="L137" s="2" t="str">
        <x:v>T_TM-1</x:v>
      </x:c>
      <x:c r="M137" s="2" t="str">
        <x:v>投出整枚计费；碎片、爆炸与持续效果不另外计弹药。</x:v>
      </x:c>
      <x:c r="N137" s="2" t="str">
        <x:v>https://github.com/SkyeShade/HD2Runtime/tree/96ab2d258d867a5df4f22bb7b3321d84d28de21d</x:v>
      </x:c>
      <x:c r="O137" s="2" t="str">
        <x:v>Wiki背景已核对；价格为MOD标准</x:v>
      </x:c>
      <x:c r="P137" s="2" t="str">
        <x:v>TM-1 Lure Mine</x:v>
      </x:c>
      <x:c r="Q137" s="2" t="str">
        <x:v>中文Wiki用名</x:v>
      </x:c>
      <x:c r="R137" s="25" t="str">
        <x:v>可粘附的近炸地雷，使用灯光与声音引诱敌人；带强力装药及破片。</x:v>
      </x:c>
      <x:c r="S137" s="25" t="str">
        <x:v>粘附壳、灯光声响诱饵、电池、近炸传感和强力装药；2500 MC整枚包干，无未经描述支持的精神控制。</x:v>
      </x:c>
      <x:c r="T137" s="25" t="str">
        <x:v>Wiki原文已逐页核对 · 2026-10-08</x:v>
      </x:c>
    </x:row>
    <x:row r="138" ht="52" customHeight="1">
      <x:c r="A138" s="8" t="str">
        <x:v>EQ-133</x:v>
      </x:c>
      <x:c r="B138" s="8" t="str">
        <x:v>投掷物</x:v>
      </x:c>
      <x:c r="C138" s="8" t="str">
        <x:v>G-89 烟幕</x:v>
      </x:c>
      <x:c r="D138" s="14" t="n">
        <x:f>ROUND('定价参数'!$D$105*I138,2)</x:f>
        <x:v>60</x:v>
      </x:c>
      <x:c r="E138" s="8" t="str">
        <x:v>枚</x:v>
      </x:c>
      <x:c r="F138" s="14" t="n">
        <x:f>ROUND('定价参数'!$D$105*J138,2)</x:f>
        <x:v>60</x:v>
      </x:c>
      <x:c r="G138" s="8" t="str">
        <x:v>消耗时计费</x:v>
      </x:c>
      <x:c r="H138" s="14" t="n">
        <x:f>0</x:f>
        <x:v>0</x:v>
      </x:c>
      <x:c r="I138" s="11" t="n">
        <x:v>1</x:v>
      </x:c>
      <x:c r="J138" s="11" t="n">
        <x:v>1</x:v>
      </x:c>
      <x:c r="K138" s="8" t="str">
        <x:v>T_G-89</x:v>
      </x:c>
      <x:c r="L138" s="8" t="str">
        <x:v>T_G-89</x:v>
      </x:c>
      <x:c r="M138" s="8" t="str">
        <x:v>投出整枚计费；碎片、爆炸与持续效果不另外计弹药。</x:v>
      </x:c>
      <x:c r="N138" s="8" t="str">
        <x:v>https://github.com/SkyeShade/HD2Runtime/tree/96ab2d258d867a5df4f22bb7b3321d84d28de21d</x:v>
      </x:c>
      <x:c r="O138" s="8" t="str">
        <x:v>Wiki背景已核对；价格为MOD标准</x:v>
      </x:c>
      <x:c r="P138" s="8" t="str">
        <x:v>G-89 Smokescreen</x:v>
      </x:c>
      <x:c r="Q138" s="8" t="str">
        <x:v>中文Wiki用名</x:v>
      </x:c>
      <x:c r="R138" s="62" t="str">
        <x:v>快速生成小而浓密烟云的掩护手雷。</x:v>
      </x:c>
      <x:c r="S138" s="62" t="str">
        <x:v>快速烟剂释放及撞击部署，略高于普通烟幕手雷。</x:v>
      </x:c>
      <x:c r="T138" s="62" t="str">
        <x:v>Wiki原文已逐页核对 · 2026-10-08</x:v>
      </x:c>
    </x:row>
    <x:row r="139" ht="52" customHeight="1">
      <x:c r="A139" s="2" t="str">
        <x:v>EQ-134</x:v>
      </x:c>
      <x:c r="B139" s="2" t="str">
        <x:v>投掷物</x:v>
      </x:c>
      <x:c r="C139" s="2" t="str">
        <x:v>G/SH-39 盾雷</x:v>
      </x:c>
      <x:c r="D139" s="15" t="n">
        <x:f>ROUND('定价参数'!$D$106*I139,2)</x:f>
        <x:v>15000</x:v>
      </x:c>
      <x:c r="E139" s="2" t="str">
        <x:v>枚</x:v>
      </x:c>
      <x:c r="F139" s="15" t="n">
        <x:f>ROUND('定价参数'!$D$106*J139,2)</x:f>
        <x:v>15000</x:v>
      </x:c>
      <x:c r="G139" s="2" t="str">
        <x:v>消耗时计费</x:v>
      </x:c>
      <x:c r="H139" s="15" t="n">
        <x:f>0</x:f>
        <x:v>0</x:v>
      </x:c>
      <x:c r="I139" s="11" t="n">
        <x:v>1</x:v>
      </x:c>
      <x:c r="J139" s="11" t="n">
        <x:v>1</x:v>
      </x:c>
      <x:c r="K139" s="2" t="str">
        <x:v>T_G_SH-39</x:v>
      </x:c>
      <x:c r="L139" s="2" t="str">
        <x:v>T_G_SH-39</x:v>
      </x:c>
      <x:c r="M139" s="2" t="str">
        <x:v>投出整枚计费；碎片、爆炸与持续效果不另外计弹药。</x:v>
      </x:c>
      <x:c r="N139" s="2" t="str">
        <x:v>https://github.com/SkyeShade/HD2Runtime/tree/96ab2d258d867a5df4f22bb7b3321d84d28de21d</x:v>
      </x:c>
      <x:c r="O139" s="2" t="str">
        <x:v>Wiki背景已核对；价格为MOD标准</x:v>
      </x:c>
      <x:c r="P139" s="2" t="str">
        <x:v>G/SH-39 Shield</x:v>
      </x:c>
      <x:c r="Q139" s="2" t="str">
        <x:v>中文Wiki用名</x:v>
      </x:c>
      <x:c r="R139" s="25" t="str">
        <x:v>撞击后生成球形阻弹护盾的投掷式发生器，部署寿命有限。</x:v>
      </x:c>
      <x:c r="S139" s="25" t="str">
        <x:v>可抛弃的球形力场发生器与能源组件；与可复用护盾背包25千MC保持技术关系。</x:v>
      </x:c>
      <x:c r="T139" s="25" t="str">
        <x:v>Wiki原文已逐页核对 · 2026-10-08</x:v>
      </x:c>
    </x:row>
    <x:row r="140" ht="52" customHeight="1">
      <x:c r="A140" s="8" t="str">
        <x:v>EQ-135</x:v>
      </x:c>
      <x:c r="B140" s="8" t="str">
        <x:v>投掷物</x:v>
      </x:c>
      <x:c r="C140" s="8" t="str">
        <x:v>G-48 千兆级榴弹</x:v>
      </x:c>
      <x:c r="D140" s="14" t="n">
        <x:f>ROUND('定价参数'!$D$107*I140,2)</x:f>
        <x:v>1500</x:v>
      </x:c>
      <x:c r="E140" s="8" t="str">
        <x:v>枚</x:v>
      </x:c>
      <x:c r="F140" s="14" t="n">
        <x:f>ROUND('定价参数'!$D$107*J140,2)</x:f>
        <x:v>1500</x:v>
      </x:c>
      <x:c r="G140" s="8" t="str">
        <x:v>消耗时计费</x:v>
      </x:c>
      <x:c r="H140" s="14" t="n">
        <x:f>0</x:f>
        <x:v>0</x:v>
      </x:c>
      <x:c r="I140" s="11" t="n">
        <x:v>1</x:v>
      </x:c>
      <x:c r="J140" s="11" t="n">
        <x:v>1</x:v>
      </x:c>
      <x:c r="K140" s="8" t="str">
        <x:v>T_G-48</x:v>
      </x:c>
      <x:c r="L140" s="8" t="str">
        <x:v>T_G-48</x:v>
      </x:c>
      <x:c r="M140" s="8" t="str">
        <x:v>投出整枚计费；碎片、爆炸与持续效果不另外计弹药。</x:v>
      </x:c>
      <x:c r="N140" s="8" t="str">
        <x:v>https://github.com/SkyeShade/HD2Runtime/tree/96ab2d258d867a5df4f22bb7b3321d84d28de21d</x:v>
      </x:c>
      <x:c r="O140" s="8" t="str">
        <x:v>Wiki背景已核对；价格为MOD标准</x:v>
      </x:c>
      <x:c r="P140" s="8" t="str">
        <x:v>G-48 Giga Grenade</x:v>
      </x:c>
      <x:c r="Q140" s="8" t="str">
        <x:v>中文Wiki用名</x:v>
      </x:c>
      <x:c r="R140" s="62" t="str">
        <x:v>以短投掷距离和低携带量换取大范围反坦克爆炸。</x:v>
      </x:c>
      <x:c r="S140" s="62" t="str">
        <x:v>大装药及反坦克战斗部提高成本，仍低于主动制导无人机。</x:v>
      </x:c>
      <x:c r="T140" s="62" t="str">
        <x:v>Wiki原文已逐页核对 · 2026-10-08</x:v>
      </x:c>
    </x:row>
    <x:row r="141" ht="52" customHeight="1">
      <x:c r="A141" s="2" t="str">
        <x:v>EQ-136</x:v>
      </x:c>
      <x:c r="B141" s="2" t="str">
        <x:v>投掷物</x:v>
      </x:c>
      <x:c r="C141" s="2" t="str">
        <x:v>G/40-K 热熔地雷</x:v>
      </x:c>
      <x:c r="D141" s="15" t="n">
        <x:f>ROUND('定价参数'!$D$108*I141,2)</x:f>
        <x:v>30000</x:v>
      </x:c>
      <x:c r="E141" s="2" t="str">
        <x:v>枚</x:v>
      </x:c>
      <x:c r="F141" s="15" t="n">
        <x:f>ROUND('定价参数'!$D$108*J141,2)</x:f>
        <x:v>30000</x:v>
      </x:c>
      <x:c r="G141" s="2" t="str">
        <x:v>消耗时计费</x:v>
      </x:c>
      <x:c r="H141" s="15" t="n">
        <x:f>0</x:f>
        <x:v>0</x:v>
      </x:c>
      <x:c r="I141" s="11" t="n">
        <x:v>1</x:v>
      </x:c>
      <x:c r="J141" s="11" t="n">
        <x:v>1</x:v>
      </x:c>
      <x:c r="K141" s="2" t="str">
        <x:v>T_G_40-K</x:v>
      </x:c>
      <x:c r="L141" s="2" t="str">
        <x:v>T_G_40-K</x:v>
      </x:c>
      <x:c r="M141" s="2" t="str">
        <x:v>投出整枚计费；碎片、爆炸与持续效果不另外计弹药。</x:v>
      </x:c>
      <x:c r="N141" s="2" t="str">
        <x:v>https://github.com/SkyeShade/HD2Runtime/tree/96ab2d258d867a5df4f22bb7b3321d84d28de21d</x:v>
      </x:c>
      <x:c r="O141" s="2" t="str">
        <x:v>Wiki背景已核对；价格为MOD标准</x:v>
      </x:c>
      <x:c r="P141" s="2" t="str">
        <x:v>G/40-K Melta Mine</x:v>
      </x:c>
      <x:c r="Q141" s="2" t="str">
        <x:v>中文Wiki用名</x:v>
      </x:c>
      <x:c r="R141" s="25" t="str">
        <x:v>一次性近炸热能地雷，先释放高温热能柱再爆炸；原文没有明确核裂变/聚变爆炸。</x:v>
      </x:c>
      <x:c r="S141" s="25" t="str">
        <x:v>一次性高温热能发生器及重型反坦克载荷，按高能技术档30000 MC，高于G-60；核装药并非已确认设定。</x:v>
      </x:c>
      <x:c r="T141" s="25" t="str">
        <x:v>Wiki原文已逐页核对 · 2026-10-08</x:v>
      </x:c>
    </x:row>
    <x:row r="142" ht="52" customHeight="1">
      <x:c r="A142" s="8" t="str">
        <x:v>EQ-137</x:v>
      </x:c>
      <x:c r="B142" s="8" t="str">
        <x:v>投掷物</x:v>
      </x:c>
      <x:c r="C142" s="8" t="str">
        <x:v>G-8 焚烧弹</x:v>
      </x:c>
      <x:c r="D142" s="14" t="n">
        <x:f>ROUND('定价参数'!$D$109*I142,2)</x:f>
        <x:v>150</x:v>
      </x:c>
      <x:c r="E142" s="8" t="str">
        <x:v>枚</x:v>
      </x:c>
      <x:c r="F142" s="14" t="n">
        <x:f>ROUND('定价参数'!$D$109*J142,2)</x:f>
        <x:v>150</x:v>
      </x:c>
      <x:c r="G142" s="8" t="str">
        <x:v>消耗时计费</x:v>
      </x:c>
      <x:c r="H142" s="14" t="n">
        <x:f>0</x:f>
        <x:v>0</x:v>
      </x:c>
      <x:c r="I142" s="11" t="n">
        <x:v>1</x:v>
      </x:c>
      <x:c r="J142" s="11" t="n">
        <x:v>1</x:v>
      </x:c>
      <x:c r="K142" s="8" t="str">
        <x:v>T_G-8</x:v>
      </x:c>
      <x:c r="L142" s="8" t="str">
        <x:v>T_G-8</x:v>
      </x:c>
      <x:c r="M142" s="8" t="str">
        <x:v>投出整枚计费；碎片、爆炸与持续效果不另外计弹药。</x:v>
      </x:c>
      <x:c r="N142" s="8" t="str">
        <x:v>https://github.com/SkyeShade/HD2Runtime/tree/96ab2d258d867a5df4f22bb7b3321d84d28de21d</x:v>
      </x:c>
      <x:c r="O142" s="8" t="str">
        <x:v>Wiki背景已核对；价格为MOD标准</x:v>
      </x:c>
      <x:c r="P142" s="8" t="str">
        <x:v>G-8 Immolation</x:v>
      </x:c>
      <x:c r="Q142" s="8" t="str">
        <x:v>参考译名</x:v>
      </x:c>
      <x:c r="R142" s="62" t="str">
        <x:v>撞击碎裂后生成持久燃烧区，主要靠燃料而非爆炸冲击。</x:v>
      </x:c>
      <x:c r="S142" s="62" t="str">
        <x:v>持续燃烧区需要较大专用燃料包，无核或制导成本。</x:v>
      </x:c>
      <x:c r="T142" s="62" t="str">
        <x:v>Wiki原文已逐页核对 · 2026-10-08</x:v>
      </x:c>
    </x:row>
    <x:row r="143" ht="52" customHeight="1">
      <x:c r="A143" s="2" t="str">
        <x:v>EQ-138</x:v>
      </x:c>
      <x:c r="B143" s="2" t="str">
        <x:v>投掷物</x:v>
      </x:c>
      <x:c r="C143" s="2" t="str">
        <x:v>G-60 反坦克寻踪者</x:v>
      </x:c>
      <x:c r="D143" s="15" t="n">
        <x:f>ROUND('定价参数'!$D$110*I143,2)</x:f>
        <x:v>12000</x:v>
      </x:c>
      <x:c r="E143" s="2" t="str">
        <x:v>枚</x:v>
      </x:c>
      <x:c r="F143" s="15" t="n">
        <x:f>ROUND('定价参数'!$D$110*J143,2)</x:f>
        <x:v>12000</x:v>
      </x:c>
      <x:c r="G143" s="2" t="str">
        <x:v>消耗时计费</x:v>
      </x:c>
      <x:c r="H143" s="15" t="n">
        <x:f>0</x:f>
        <x:v>0</x:v>
      </x:c>
      <x:c r="I143" s="11" t="n">
        <x:v>1</x:v>
      </x:c>
      <x:c r="J143" s="11" t="n">
        <x:v>1</x:v>
      </x:c>
      <x:c r="K143" s="2" t="str">
        <x:v>T_G-60</x:v>
      </x:c>
      <x:c r="L143" s="2" t="str">
        <x:v>T_G-60</x:v>
      </x:c>
      <x:c r="M143" s="2" t="str">
        <x:v>投出整枚计费；碎片、爆炸与持续效果不另外计弹药。</x:v>
      </x:c>
      <x:c r="N143" s="2" t="str">
        <x:v>https://github.com/SkyeShade/HD2Runtime/tree/96ab2d258d867a5df4f22bb7b3321d84d28de21d</x:v>
      </x:c>
      <x:c r="O143" s="2" t="str">
        <x:v>Wiki背景已核对；价格为MOD标准</x:v>
      </x:c>
      <x:c r="P143" s="2" t="str">
        <x:v>G-60 Anti-Tank Seeker</x:v>
      </x:c>
      <x:c r="Q143" s="2" t="str">
        <x:v>参考译名</x:v>
      </x:c>
      <x:c r="R143" s="25" t="str">
        <x:v>带重型反装甲载荷的自毁寻敌无人机。</x:v>
      </x:c>
      <x:c r="S143" s="25" t="str">
        <x:v>自主寻敌飞行平台加重型反装甲载荷，高于普通寻踪者，低于热熔高能装置。</x:v>
      </x:c>
      <x:c r="T143" s="25" t="str">
        <x:v>Wiki原文已逐页核对 · 2026-10-08</x:v>
      </x:c>
    </x:row>
    <x:row r="144" ht="52" customHeight="1">
      <x:c r="A144" s="8" t="str">
        <x:v>EQ-139</x:v>
      </x:c>
      <x:c r="B144" s="8" t="str">
        <x:v>背包</x:v>
      </x:c>
      <x:c r="C144" s="8" t="str">
        <x:v>B-1 补给背包</x:v>
      </x:c>
      <x:c r="D144" s="14" t="n">
        <x:f>ROUND('定价参数'!$D$72*I144,2)</x:f>
        <x:v>500</x:v>
      </x:c>
      <x:c r="E144" s="8" t="str">
        <x:v>—</x:v>
      </x:c>
      <x:c r="F144" s="14" t="n">
        <x:f>0</x:f>
        <x:v>0</x:v>
      </x:c>
      <x:c r="G144" s="8" t="str">
        <x:v>库存转移不再计费</x:v>
      </x:c>
      <x:c r="H144" s="14" t="n">
        <x:f>0</x:f>
        <x:v>0</x:v>
      </x:c>
      <x:c r="I144" s="11" t="n">
        <x:v>1</x:v>
      </x:c>
      <x:c r="J144" s="11" t="n">
        <x:v>1</x:v>
      </x:c>
      <x:c r="K144" s="8" t="str">
        <x:v>B_BP</x:v>
      </x:c>
      <x:c r="L144" s="8" t="str"/>
      <x:c r="M144" s="8" t="str">
        <x:v>自主无人机、能源或核装药按调用整包；补给包只记本体和投送。</x:v>
      </x:c>
      <x:c r="N144" s="8" t="str">
        <x:v>https://github.com/SkyeShade/HD2Runtime/tree/96ab2d258d867a5df4f22bb7b3321d84d28de21d</x:v>
      </x:c>
      <x:c r="O144" s="8" t="str">
        <x:v>Wiki背景已核对；价格为MOD标准</x:v>
      </x:c>
      <x:c r="P144" s="8" t="str">
        <x:v>B-1 Supply Pack</x:v>
      </x:c>
      <x:c r="Q144" s="8" t="str">
        <x:v>中文Wiki用名</x:v>
      </x:c>
      <x:c r="R144" s="62" t="str">
        <x:v>背包携带可分给队友的弹药、手雷与治疗补给箱。</x:v>
      </x:c>
      <x:c r="S144" s="62" t="str">
        <x:v>保留对应载具/背包系统价，装备功能已核对；随设备一次投送的配套组件不重复采购。</x:v>
      </x:c>
      <x:c r="T144" s="62" t="str">
        <x:v>Wiki原文已逐页核对 · 2026-10-08</x:v>
      </x:c>
    </x:row>
    <x:row r="145" ht="52" customHeight="1">
      <x:c r="A145" s="2" t="str">
        <x:v>EQ-140</x:v>
      </x:c>
      <x:c r="B145" s="2" t="str">
        <x:v>背包</x:v>
      </x:c>
      <x:c r="C145" s="2" t="str">
        <x:v>LIFT-850 喷射背包</x:v>
      </x:c>
      <x:c r="D145" s="15" t="n">
        <x:f>ROUND('定价参数'!$D$73*I145,2)</x:f>
        <x:v>15000</x:v>
      </x:c>
      <x:c r="E145" s="2" t="str">
        <x:v>—</x:v>
      </x:c>
      <x:c r="F145" s="15" t="n">
        <x:f>0</x:f>
        <x:v>0</x:v>
      </x:c>
      <x:c r="G145" s="2" t="str">
        <x:v>已含调用价/随主装备</x:v>
      </x:c>
      <x:c r="H145" s="15" t="n">
        <x:f>0</x:f>
        <x:v>0</x:v>
      </x:c>
      <x:c r="I145" s="11" t="n">
        <x:v>1</x:v>
      </x:c>
      <x:c r="J145" s="11" t="n">
        <x:v>1</x:v>
      </x:c>
      <x:c r="K145" s="2" t="str">
        <x:v>B_JUMP</x:v>
      </x:c>
      <x:c r="L145" s="2" t="str"/>
      <x:c r="M145" s="2" t="str">
        <x:v>自主无人机、能源或核装药按调用整包；补给包只记本体和投送。</x:v>
      </x:c>
      <x:c r="N145" s="2" t="str">
        <x:v>https://github.com/SkyeShade/HD2Runtime/tree/96ab2d258d867a5df4f22bb7b3321d84d28de21d</x:v>
      </x:c>
      <x:c r="O145" s="2" t="str">
        <x:v>Wiki背景已核对；价格为MOD标准</x:v>
      </x:c>
      <x:c r="P145" s="2" t="str">
        <x:v>LIFT-850 Jump Pack</x:v>
      </x:c>
      <x:c r="Q145" s="2" t="str">
        <x:v>中文Wiki用名</x:v>
      </x:c>
      <x:c r="R145" s="25" t="str">
        <x:v>需充能后使用的喷射背包，提高跳跃高度与水平位移。</x:v>
      </x:c>
      <x:c r="S145" s="25" t="str">
        <x:v>保留对应载具/背包系统价，装备功能已核对；随设备一次投送的配套组件不重复采购。</x:v>
      </x:c>
      <x:c r="T145" s="25" t="str">
        <x:v>Wiki原文已逐页核对 · 2026-10-08</x:v>
      </x:c>
    </x:row>
    <x:row r="146" ht="52" customHeight="1">
      <x:c r="A146" s="8" t="str">
        <x:v>EQ-141</x:v>
      </x:c>
      <x:c r="B146" s="8" t="str">
        <x:v>背包</x:v>
      </x:c>
      <x:c r="C146" s="8" t="str">
        <x:v>SH-20 防弹护盾背包</x:v>
      </x:c>
      <x:c r="D146" s="14" t="n">
        <x:f>ROUND('定价参数'!$D$74*I146,2)</x:f>
        <x:v>2000</x:v>
      </x:c>
      <x:c r="E146" s="8" t="str">
        <x:v>—</x:v>
      </x:c>
      <x:c r="F146" s="14" t="n">
        <x:f>0</x:f>
        <x:v>0</x:v>
      </x:c>
      <x:c r="G146" s="8" t="str">
        <x:v>已含调用价/随主装备</x:v>
      </x:c>
      <x:c r="H146" s="14" t="n">
        <x:f>0</x:f>
        <x:v>0</x:v>
      </x:c>
      <x:c r="I146" s="11" t="n">
        <x:v>1</x:v>
      </x:c>
      <x:c r="J146" s="11" t="n">
        <x:v>1</x:v>
      </x:c>
      <x:c r="K146" s="8" t="str">
        <x:v>B_SHIELD</x:v>
      </x:c>
      <x:c r="L146" s="8" t="str"/>
      <x:c r="M146" s="8" t="str">
        <x:v>自主无人机、能源或核装药按调用整包；补给包只记本体和投送。</x:v>
      </x:c>
      <x:c r="N146" s="8" t="str">
        <x:v>https://github.com/SkyeShade/HD2Runtime/tree/96ab2d258d867a5df4f22bb7b3321d84d28de21d</x:v>
      </x:c>
      <x:c r="O146" s="8" t="str">
        <x:v>Wiki背景已核对；价格为MOD标准</x:v>
      </x:c>
      <x:c r="P146" s="8" t="str">
        <x:v>SH-20 Ballistic Shield Backpack</x:v>
      </x:c>
      <x:c r="Q146" s="8" t="str">
        <x:v>中文Wiki用名</x:v>
      </x:c>
      <x:c r="R146" s="62" t="str">
        <x:v>可单手持用的实物防弹盾，抵挡轻武器火力。</x:v>
      </x:c>
      <x:c r="S146" s="62" t="str">
        <x:v>修正中文名称中重复拼入的“弹药背包”，实物防弹盾仍用原价。</x:v>
      </x:c>
      <x:c r="T146" s="62" t="str">
        <x:v>Wiki原文已逐页核对 · 2026-10-08</x:v>
      </x:c>
    </x:row>
    <x:row r="147" ht="52" customHeight="1">
      <x:c r="A147" s="2" t="str">
        <x:v>EQ-142</x:v>
      </x:c>
      <x:c r="B147" s="2" t="str">
        <x:v>背包</x:v>
      </x:c>
      <x:c r="C147" s="2" t="str">
        <x:v>AX/AR-23 护卫犬</x:v>
      </x:c>
      <x:c r="D147" s="15" t="n">
        <x:f>ROUND('定价参数'!$D$76*I147,2)</x:f>
        <x:v>18000</x:v>
      </x:c>
      <x:c r="E147" s="2" t="str">
        <x:v>次</x:v>
      </x:c>
      <x:c r="F147" s="15" t="n">
        <x:f>ROUND('定价参数'!$D$6*J147,2)</x:f>
        <x:v>0.35</x:v>
      </x:c>
      <x:c r="G147" s="2" t="str">
        <x:v>已含调用价/随主装备</x:v>
      </x:c>
      <x:c r="H147" s="15" t="n">
        <x:f>0</x:f>
        <x:v>0</x:v>
      </x:c>
      <x:c r="I147" s="11" t="n">
        <x:v>1</x:v>
      </x:c>
      <x:c r="J147" s="11" t="n">
        <x:v>1</x:v>
      </x:c>
      <x:c r="K147" s="2" t="str">
        <x:v>B_DOG</x:v>
      </x:c>
      <x:c r="L147" s="2" t="str">
        <x:v>A_RIFLE_L</x:v>
      </x:c>
      <x:c r="M147" s="2" t="str">
        <x:v>自主无人机、能源或核装药按调用整包；补给包只记本体和投送。</x:v>
      </x:c>
      <x:c r="N147" s="2" t="str">
        <x:v>https://github.com/SkyeShade/HD2Runtime/tree/96ab2d258d867a5df4f22bb7b3321d84d28de21d</x:v>
      </x:c>
      <x:c r="O147" s="2" t="str">
        <x:v>Wiki背景已核对；价格为MOD标准</x:v>
      </x:c>
      <x:c r="P147" s="2" t="str">
        <x:v>AX/AR-23 Guard Dog</x:v>
      </x:c>
      <x:c r="Q147" s="2" t="str">
        <x:v>中文Wiki用名</x:v>
      </x:c>
      <x:c r="R147" s="25" t="str">
        <x:v>自动无人机携带解放者，回背包补弹。</x:v>
      </x:c>
      <x:c r="S147" s="25" t="str">
        <x:v>保留对应载具/背包系统价，装备功能已核对；随设备一次投送的配套组件不重复采购。</x:v>
      </x:c>
      <x:c r="T147" s="25" t="str">
        <x:v>Wiki原文已逐页核对 · 2026-10-08</x:v>
      </x:c>
    </x:row>
    <x:row r="148" ht="52" customHeight="1">
      <x:c r="A148" s="8" t="str">
        <x:v>EQ-143</x:v>
      </x:c>
      <x:c r="B148" s="8" t="str">
        <x:v>背包</x:v>
      </x:c>
      <x:c r="C148" s="8" t="str">
        <x:v>AX/LAS-5 漫游车</x:v>
      </x:c>
      <x:c r="D148" s="14" t="n">
        <x:f>ROUND('定价参数'!$D$76*I148,2)</x:f>
        <x:v>23400</x:v>
      </x:c>
      <x:c r="E148" s="8" t="str">
        <x:v>秒</x:v>
      </x:c>
      <x:c r="F148" s="14" t="n">
        <x:f>ROUND('定价参数'!$D$28*J148,2)</x:f>
        <x:v>0.05</x:v>
      </x:c>
      <x:c r="G148" s="8" t="str">
        <x:v>已含调用价/随主装备</x:v>
      </x:c>
      <x:c r="H148" s="14" t="n">
        <x:f>0</x:f>
        <x:v>0</x:v>
      </x:c>
      <x:c r="I148" s="11" t="n">
        <x:v>1.3</x:v>
      </x:c>
      <x:c r="J148" s="11" t="n">
        <x:v>1</x:v>
      </x:c>
      <x:c r="K148" s="8" t="str">
        <x:v>B_DOG</x:v>
      </x:c>
      <x:c r="L148" s="8" t="str">
        <x:v>A_LASER_S</x:v>
      </x:c>
      <x:c r="M148" s="8" t="str">
        <x:v>自主无人机、能源或核装药按调用整包；补给包只记本体和投送。</x:v>
      </x:c>
      <x:c r="N148" s="8" t="str">
        <x:v>https://github.com/SkyeShade/HD2Runtime/tree/96ab2d258d867a5df4f22bb7b3321d84d28de21d</x:v>
      </x:c>
      <x:c r="O148" s="8" t="str">
        <x:v>Wiki背景已核对；价格为MOD标准</x:v>
      </x:c>
      <x:c r="P148" s="8" t="str">
        <x:v>AX/LAS-5 Rover</x:v>
      </x:c>
      <x:c r="Q148" s="8" t="str">
        <x:v>中文Wiki用名</x:v>
      </x:c>
      <x:c r="R148" s="62" t="str">
        <x:v>自动激光无人机，回背包冷却。</x:v>
      </x:c>
      <x:c r="S148" s="62" t="str">
        <x:v>维持设备本体较贵、供能耗材较低的成本结构；功能和耗材类型已逐件核对，发射次数/秒数与更换散热器分别计费。</x:v>
      </x:c>
      <x:c r="T148" s="62" t="str">
        <x:v>Wiki原文已逐页核对 · 2026-10-08</x:v>
      </x:c>
    </x:row>
    <x:row r="149" ht="52" customHeight="1">
      <x:c r="A149" s="2" t="str">
        <x:v>EQ-144</x:v>
      </x:c>
      <x:c r="B149" s="2" t="str">
        <x:v>背包</x:v>
      </x:c>
      <x:c r="C149" s="2" t="str">
        <x:v>SH-32 防护罩生成包</x:v>
      </x:c>
      <x:c r="D149" s="15" t="n">
        <x:f>ROUND('定价参数'!$D$75*I149,2)</x:f>
        <x:v>25000</x:v>
      </x:c>
      <x:c r="E149" s="2" t="str">
        <x:v>—</x:v>
      </x:c>
      <x:c r="F149" s="15" t="n">
        <x:f>0</x:f>
        <x:v>0</x:v>
      </x:c>
      <x:c r="G149" s="2" t="str">
        <x:v>已含调用价/随主装备</x:v>
      </x:c>
      <x:c r="H149" s="15" t="n">
        <x:f>0</x:f>
        <x:v>0</x:v>
      </x:c>
      <x:c r="I149" s="11" t="n">
        <x:v>1</x:v>
      </x:c>
      <x:c r="J149" s="11" t="n">
        <x:v>1</x:v>
      </x:c>
      <x:c r="K149" s="2" t="str">
        <x:v>B_FORCE</x:v>
      </x:c>
      <x:c r="L149" s="2" t="str"/>
      <x:c r="M149" s="2" t="str">
        <x:v>自主无人机、能源或核装药按调用整包；补给包只记本体和投送。</x:v>
      </x:c>
      <x:c r="N149" s="2" t="str">
        <x:v>https://github.com/SkyeShade/HD2Runtime/tree/96ab2d258d867a5df4f22bb7b3321d84d28de21d</x:v>
      </x:c>
      <x:c r="O149" s="2" t="str">
        <x:v>Wiki背景已核对；价格为MOD标准</x:v>
      </x:c>
      <x:c r="P149" s="2" t="str">
        <x:v>SH-32 Shield Generator Pack</x:v>
      </x:c>
      <x:c r="Q149" s="2" t="str">
        <x:v>中文Wiki用名</x:v>
      </x:c>
      <x:c r="R149" s="25" t="str">
        <x:v>在使用者周围生成球形阻弹护盾。</x:v>
      </x:c>
      <x:c r="S149" s="25" t="str">
        <x:v>保留对应载具/背包系统价，装备功能已核对；随设备一次投送的配套组件不重复采购。</x:v>
      </x:c>
      <x:c r="T149" s="25" t="str">
        <x:v>Wiki原文已逐页核对 · 2026-10-08</x:v>
      </x:c>
    </x:row>
    <x:row r="150" ht="52" customHeight="1">
      <x:c r="A150" s="8" t="str">
        <x:v>EQ-145</x:v>
      </x:c>
      <x:c r="B150" s="8" t="str">
        <x:v>背包</x:v>
      </x:c>
      <x:c r="C150" s="8" t="str">
        <x:v>SH-51 定向护盾</x:v>
      </x:c>
      <x:c r="D150" s="14" t="n">
        <x:f>ROUND('定价参数'!$D$75*I150,2)</x:f>
        <x:v>20000</x:v>
      </x:c>
      <x:c r="E150" s="8" t="str">
        <x:v>—</x:v>
      </x:c>
      <x:c r="F150" s="14" t="n">
        <x:f>0</x:f>
        <x:v>0</x:v>
      </x:c>
      <x:c r="G150" s="8" t="str">
        <x:v>已含调用价/随主装备</x:v>
      </x:c>
      <x:c r="H150" s="14" t="n">
        <x:f>0</x:f>
        <x:v>0</x:v>
      </x:c>
      <x:c r="I150" s="11" t="n">
        <x:v>0.8</x:v>
      </x:c>
      <x:c r="J150" s="11" t="n">
        <x:v>1</x:v>
      </x:c>
      <x:c r="K150" s="8" t="str">
        <x:v>B_FORCE</x:v>
      </x:c>
      <x:c r="L150" s="8" t="str"/>
      <x:c r="M150" s="8" t="str">
        <x:v>自主无人机、能源或核装药按调用整包；补给包只记本体和投送。</x:v>
      </x:c>
      <x:c r="N150" s="8" t="str">
        <x:v>https://github.com/SkyeShade/HD2Runtime/tree/96ab2d258d867a5df4f22bb7b3321d84d28de21d</x:v>
      </x:c>
      <x:c r="O150" s="8" t="str">
        <x:v>Wiki背景已核对；价格为MOD标准</x:v>
      </x:c>
      <x:c r="P150" s="8" t="str">
        <x:v>SH-51 Directional Shield</x:v>
      </x:c>
      <x:c r="Q150" s="8" t="str">
        <x:v>中文Wiki用名</x:v>
      </x:c>
      <x:c r="R150" s="62" t="str">
        <x:v>向使用者前方生成单向半透能量护盾。</x:v>
      </x:c>
      <x:c r="S150" s="62" t="str">
        <x:v>保留对应载具/背包系统价，装备功能已核对；随设备一次投送的配套组件不重复采购。</x:v>
      </x:c>
      <x:c r="T150" s="62" t="str">
        <x:v>Wiki原文已逐页核对 · 2026-10-08</x:v>
      </x:c>
    </x:row>
    <x:row r="151" ht="52" customHeight="1">
      <x:c r="A151" s="2" t="str">
        <x:v>EQ-146</x:v>
      </x:c>
      <x:c r="B151" s="2" t="str">
        <x:v>背包</x:v>
      </x:c>
      <x:c r="C151" s="2" t="str">
        <x:v>AX/FLAM-75 热狗</x:v>
      </x:c>
      <x:c r="D151" s="15" t="n">
        <x:f>ROUND('定价参数'!$D$76*I151,2)</x:f>
        <x:v>19800</x:v>
      </x:c>
      <x:c r="E151" s="2" t="str">
        <x:v>显示单位</x:v>
      </x:c>
      <x:c r="F151" s="15" t="n">
        <x:f>ROUND('定价参数'!$D$25*J151,2)</x:f>
        <x:v>0.3</x:v>
      </x:c>
      <x:c r="G151" s="2" t="str">
        <x:v>已含调用价/随主装备</x:v>
      </x:c>
      <x:c r="H151" s="15" t="n">
        <x:f>0</x:f>
        <x:v>0</x:v>
      </x:c>
      <x:c r="I151" s="11" t="n">
        <x:v>1.1</x:v>
      </x:c>
      <x:c r="J151" s="11" t="n">
        <x:v>1</x:v>
      </x:c>
      <x:c r="K151" s="2" t="str">
        <x:v>B_DOG</x:v>
      </x:c>
      <x:c r="L151" s="2" t="str">
        <x:v>A_FUEL</x:v>
      </x:c>
      <x:c r="M151" s="2" t="str">
        <x:v>自主无人机、能源或核装药按调用整包；补给包只记本体和投送。</x:v>
      </x:c>
      <x:c r="N151" s="2" t="str">
        <x:v>https://github.com/SkyeShade/HD2Runtime/tree/96ab2d258d867a5df4f22bb7b3321d84d28de21d</x:v>
      </x:c>
      <x:c r="O151" s="2" t="str">
        <x:v>Wiki背景已核对；价格为MOD标准</x:v>
      </x:c>
      <x:c r="P151" s="2" t="str">
        <x:v>AX/FLAM-75 Hot Dog</x:v>
      </x:c>
      <x:c r="Q151" s="2" t="str">
        <x:v>中文Wiki用名</x:v>
      </x:c>
      <x:c r="R151" s="25" t="str">
        <x:v>自动喷火无人机，回背包补燃料。</x:v>
      </x:c>
      <x:c r="S151" s="25" t="str">
        <x:v>按专用燃料、药剂或装药计价，设备与耗材分开；现有基价与对应构造相符。</x:v>
      </x:c>
      <x:c r="T151" s="25" t="str">
        <x:v>Wiki原文已逐页核对 · 2026-10-08</x:v>
      </x:c>
    </x:row>
    <x:row r="152" ht="52" customHeight="1">
      <x:c r="A152" s="8" t="str">
        <x:v>EQ-147</x:v>
      </x:c>
      <x:c r="B152" s="8" t="str">
        <x:v>背包</x:v>
      </x:c>
      <x:c r="C152" s="8" t="str">
        <x:v>B-100 便携式地狱火炸弹</x:v>
      </x:c>
      <x:c r="D152" s="14" t="n">
        <x:f>ROUND('定价参数'!$D$78*I152,2)</x:f>
        <x:v>250000</x:v>
      </x:c>
      <x:c r="E152" s="8" t="str">
        <x:v>—</x:v>
      </x:c>
      <x:c r="F152" s="14" t="n">
        <x:f>0</x:f>
        <x:v>0</x:v>
      </x:c>
      <x:c r="G152" s="8" t="str">
        <x:v>已含调用价/随主装备</x:v>
      </x:c>
      <x:c r="H152" s="14" t="n">
        <x:f>0</x:f>
        <x:v>0</x:v>
      </x:c>
      <x:c r="I152" s="11" t="n">
        <x:v>1</x:v>
      </x:c>
      <x:c r="J152" s="11" t="n">
        <x:v>1</x:v>
      </x:c>
      <x:c r="K152" s="8" t="str">
        <x:v>B_NUKE</x:v>
      </x:c>
      <x:c r="L152" s="8" t="str"/>
      <x:c r="M152" s="8" t="str">
        <x:v>自主无人机、能源或核装药按调用整包；补给包只记本体和投送。</x:v>
      </x:c>
      <x:c r="N152" s="8" t="str">
        <x:v>https://github.com/SkyeShade/HD2Runtime/tree/96ab2d258d867a5df4f22bb7b3321d84d28de21d</x:v>
      </x:c>
      <x:c r="O152" s="8" t="str">
        <x:v>Wiki背景已核对；价格为MOD标准</x:v>
      </x:c>
      <x:c r="P152" s="8" t="str">
        <x:v>B-100 Portable Hellbomb</x:v>
      </x:c>
      <x:c r="Q152" s="8" t="str">
        <x:v>中文Wiki用名</x:v>
      </x:c>
      <x:c r="R152" s="62" t="str">
        <x:v>背包式地狱火炸弹，可由使用者或队友启动倒计时。</x:v>
      </x:c>
      <x:c r="S152" s="62" t="str">
        <x:v>保留对应载具/背包系统价，装备功能已核对；随设备一次投送的配套组件不重复采购。</x:v>
      </x:c>
      <x:c r="T152" s="62" t="str">
        <x:v>Wiki原文已逐页核对 · 2026-10-08</x:v>
      </x:c>
    </x:row>
    <x:row r="153" ht="52" customHeight="1">
      <x:c r="A153" s="2" t="str">
        <x:v>EQ-148</x:v>
      </x:c>
      <x:c r="B153" s="2" t="str">
        <x:v>背包</x:v>
      </x:c>
      <x:c r="C153" s="2" t="str">
        <x:v>AX/ARC-3 K-9护卫犬</x:v>
      </x:c>
      <x:c r="D153" s="15" t="n">
        <x:f>ROUND('定价参数'!$D$76*I153,2)</x:f>
        <x:v>23400</x:v>
      </x:c>
      <x:c r="E153" s="2" t="str">
        <x:v>次</x:v>
      </x:c>
      <x:c r="F153" s="15" t="n">
        <x:f>ROUND('定价参数'!$D$31*J153,2)</x:f>
        <x:v>0.2</x:v>
      </x:c>
      <x:c r="G153" s="2" t="str">
        <x:v>已含调用价/随主装备</x:v>
      </x:c>
      <x:c r="H153" s="15" t="n">
        <x:f>0</x:f>
        <x:v>0</x:v>
      </x:c>
      <x:c r="I153" s="11" t="n">
        <x:v>1.3</x:v>
      </x:c>
      <x:c r="J153" s="11" t="n">
        <x:v>1</x:v>
      </x:c>
      <x:c r="K153" s="2" t="str">
        <x:v>B_DOG</x:v>
      </x:c>
      <x:c r="L153" s="2" t="str">
        <x:v>A_ARC_H</x:v>
      </x:c>
      <x:c r="M153" s="2" t="str">
        <x:v>自主无人机、能源或核装药按调用整包；补给包只记本体和投送。</x:v>
      </x:c>
      <x:c r="N153" s="2" t="str">
        <x:v>https://github.com/SkyeShade/HD2Runtime/tree/96ab2d258d867a5df4f22bb7b3321d84d28de21d</x:v>
      </x:c>
      <x:c r="O153" s="2" t="str">
        <x:v>Wiki背景已核对；价格为MOD标准</x:v>
      </x:c>
      <x:c r="P153" s="2" t="str">
        <x:v>AX/ARC-3 K-9</x:v>
      </x:c>
      <x:c r="Q153" s="2" t="str">
        <x:v>说明性译名</x:v>
      </x:c>
      <x:c r="R153" s="25" t="str">
        <x:v>携带改型电弧发射器的自动无人机，无需逐发回包充能。</x:v>
      </x:c>
      <x:c r="S153" s="25" t="str">
        <x:v>维持设备本体较贵、供能耗材较低的成本结构；功能和耗材类型已逐件核对，发射次数/秒数与更换散热器分别计费。</x:v>
      </x:c>
      <x:c r="T153" s="25" t="str">
        <x:v>Wiki原文已逐页核对 · 2026-10-08</x:v>
      </x:c>
    </x:row>
    <x:row r="154" ht="52" customHeight="1">
      <x:c r="A154" s="8" t="str">
        <x:v>EQ-149</x:v>
      </x:c>
      <x:c r="B154" s="8" t="str">
        <x:v>背包</x:v>
      </x:c>
      <x:c r="C154" s="8" t="str">
        <x:v>LIFT-860 悬浮背包</x:v>
      </x:c>
      <x:c r="D154" s="14" t="n">
        <x:f>ROUND('定价参数'!$D$73*I154,2)</x:f>
        <x:v>21000</x:v>
      </x:c>
      <x:c r="E154" s="8" t="str">
        <x:v>—</x:v>
      </x:c>
      <x:c r="F154" s="14" t="n">
        <x:f>0</x:f>
        <x:v>0</x:v>
      </x:c>
      <x:c r="G154" s="8" t="str">
        <x:v>已含调用价/随主装备</x:v>
      </x:c>
      <x:c r="H154" s="14" t="n">
        <x:f>0</x:f>
        <x:v>0</x:v>
      </x:c>
      <x:c r="I154" s="11" t="n">
        <x:v>1.4</x:v>
      </x:c>
      <x:c r="J154" s="11" t="n">
        <x:v>1</x:v>
      </x:c>
      <x:c r="K154" s="8" t="str">
        <x:v>B_JUMP</x:v>
      </x:c>
      <x:c r="L154" s="8" t="str"/>
      <x:c r="M154" s="8" t="str">
        <x:v>自主无人机、能源或核装药按调用整包；补给包只记本体和投送。</x:v>
      </x:c>
      <x:c r="N154" s="8" t="str">
        <x:v>https://github.com/SkyeShade/HD2Runtime/tree/96ab2d258d867a5df4f22bb7b3321d84d28de21d</x:v>
      </x:c>
      <x:c r="O154" s="8" t="str">
        <x:v>Wiki背景已核对；价格为MOD标准</x:v>
      </x:c>
      <x:c r="P154" s="8" t="str">
        <x:v>LIFT-860 Hover Pack</x:v>
      </x:c>
      <x:c r="Q154" s="8" t="str">
        <x:v>参考译名</x:v>
      </x:c>
      <x:c r="R154" s="62" t="str">
        <x:v>提供短时稳定定高悬浮，之后需恢复充能。</x:v>
      </x:c>
      <x:c r="S154" s="62" t="str">
        <x:v>保留对应载具/背包系统价，装备功能已核对；随设备一次投送的配套组件不重复采购。</x:v>
      </x:c>
      <x:c r="T154" s="62" t="str">
        <x:v>Wiki原文已逐页核对 · 2026-10-08</x:v>
      </x:c>
    </x:row>
    <x:row r="155" ht="52" customHeight="1">
      <x:c r="A155" s="2" t="str">
        <x:v>EQ-150</x:v>
      </x:c>
      <x:c r="B155" s="2" t="str">
        <x:v>背包</x:v>
      </x:c>
      <x:c r="C155" s="2" t="str">
        <x:v>AX/TX-13 腐息</x:v>
      </x:c>
      <x:c r="D155" s="15" t="n">
        <x:f>ROUND('定价参数'!$D$76*I155,2)</x:f>
        <x:v>19800</x:v>
      </x:c>
      <x:c r="E155" s="2" t="str">
        <x:v>显示单位</x:v>
      </x:c>
      <x:c r="F155" s="15" t="n">
        <x:f>ROUND('定价参数'!$D$26*J155,2)</x:f>
        <x:v>0.5</x:v>
      </x:c>
      <x:c r="G155" s="2" t="str">
        <x:v>已含调用价/随主装备</x:v>
      </x:c>
      <x:c r="H155" s="15" t="n">
        <x:f>0</x:f>
        <x:v>0</x:v>
      </x:c>
      <x:c r="I155" s="11" t="n">
        <x:v>1.1</x:v>
      </x:c>
      <x:c r="J155" s="11" t="n">
        <x:v>1</x:v>
      </x:c>
      <x:c r="K155" s="2" t="str">
        <x:v>B_DOG</x:v>
      </x:c>
      <x:c r="L155" s="2" t="str">
        <x:v>A_GAS</x:v>
      </x:c>
      <x:c r="M155" s="2" t="str">
        <x:v>自主无人机、能源或核装药按调用整包；补给包只记本体和投送。</x:v>
      </x:c>
      <x:c r="N155" s="2" t="str">
        <x:v>https://github.com/SkyeShade/HD2Runtime/tree/96ab2d258d867a5df4f22bb7b3321d84d28de21d</x:v>
      </x:c>
      <x:c r="O155" s="2" t="str">
        <x:v>Wiki背景已核对；价格为MOD标准</x:v>
      </x:c>
      <x:c r="P155" s="2" t="str">
        <x:v>AX/TX-13 Dog Breath</x:v>
      </x:c>
      <x:c r="Q155" s="2" t="str">
        <x:v>中文Wiki用名</x:v>
      </x:c>
      <x:c r="R155" s="25" t="str">
        <x:v>腐蚀气体无人机，回背包补充药剂。</x:v>
      </x:c>
      <x:c r="S155" s="25" t="str">
        <x:v>按专用燃料、药剂或装药计价，设备与耗材分开；现有基价与对应构造相符。</x:v>
      </x:c>
      <x:c r="T155" s="25" t="str">
        <x:v>Wiki原文已逐页核对 · 2026-10-08</x:v>
      </x:c>
    </x:row>
    <x:row r="156" ht="52" customHeight="1">
      <x:c r="A156" s="8" t="str">
        <x:v>EQ-151</x:v>
      </x:c>
      <x:c r="B156" s="8" t="str">
        <x:v>背包</x:v>
      </x:c>
      <x:c r="C156" s="8" t="str">
        <x:v>LIFT-182 跃迁背包</x:v>
      </x:c>
      <x:c r="D156" s="14" t="n">
        <x:f>ROUND('定价参数'!$D$77*I156,2)</x:f>
        <x:v>300000</x:v>
      </x:c>
      <x:c r="E156" s="8" t="str">
        <x:v>—</x:v>
      </x:c>
      <x:c r="F156" s="14" t="n">
        <x:f>0</x:f>
        <x:v>0</x:v>
      </x:c>
      <x:c r="G156" s="8" t="str">
        <x:v>已含调用价/随主装备</x:v>
      </x:c>
      <x:c r="H156" s="14" t="n">
        <x:f>0</x:f>
        <x:v>0</x:v>
      </x:c>
      <x:c r="I156" s="11" t="n">
        <x:v>3</x:v>
      </x:c>
      <x:c r="J156" s="11" t="n">
        <x:v>1</x:v>
      </x:c>
      <x:c r="K156" s="8" t="str">
        <x:v>B_WARP</x:v>
      </x:c>
      <x:c r="L156" s="8" t="str"/>
      <x:c r="M156" s="8" t="str">
        <x:v>自主无人机、能源或核装药按调用整包；补给包只记本体和投送。</x:v>
      </x:c>
      <x:c r="N156" s="8" t="str">
        <x:v>https://github.com/SkyeShade/HD2Runtime/tree/96ab2d258d867a5df4f22bb7b3321d84d28de21d</x:v>
      </x:c>
      <x:c r="O156" s="8" t="str">
        <x:v>Wiki背景已核对；价格为MOD标准</x:v>
      </x:c>
      <x:c r="P156" s="8" t="str">
        <x:v>LIFT-182 Warp Pack</x:v>
      </x:c>
      <x:c r="Q156" s="8" t="str">
        <x:v>参考译名</x:v>
      </x:c>
      <x:c r="R156" s="62" t="str">
        <x:v>暗物质驱动的便携微型虫洞背包，可短距离传送。</x:v>
      </x:c>
      <x:c r="S156" s="62" t="str">
        <x:v>暗物质驱动的微型虫洞装置，比喷射及力场背包复杂；提高整件标准价，使用仍包干。</x:v>
      </x:c>
      <x:c r="T156" s="62" t="str">
        <x:v>Wiki原文已逐页核对 · 2026-10-08</x:v>
      </x:c>
    </x:row>
    <x:row r="157" ht="52" customHeight="1">
      <x:c r="A157" s="2" t="str">
        <x:v>EQ-152</x:v>
      </x:c>
      <x:c r="B157" s="2" t="str">
        <x:v>背包</x:v>
      </x:c>
      <x:c r="C157" s="2" t="str">
        <x:v>B/FLAM-80 焚燃者弹药背包</x:v>
      </x:c>
      <x:c r="D157" s="15" t="n">
        <x:f>ROUND('定价参数'!$D$72*I157,2)</x:f>
        <x:v>1000</x:v>
      </x:c>
      <x:c r="E157" s="2" t="str">
        <x:v>—</x:v>
      </x:c>
      <x:c r="F157" s="15" t="n">
        <x:f>0</x:f>
        <x:v>0</x:v>
      </x:c>
      <x:c r="G157" s="2" t="str">
        <x:v>已含调用价/随主装备</x:v>
      </x:c>
      <x:c r="H157" s="15" t="n">
        <x:f>0</x:f>
        <x:v>0</x:v>
      </x:c>
      <x:c r="I157" s="11" t="n">
        <x:v>2</x:v>
      </x:c>
      <x:c r="J157" s="11" t="n">
        <x:v>1</x:v>
      </x:c>
      <x:c r="K157" s="2" t="str">
        <x:v>B_BP</x:v>
      </x:c>
      <x:c r="L157" s="2" t="str"/>
      <x:c r="M157" s="2" t="str">
        <x:v>自主无人机、能源或核装药按调用整包；补给包只记本体和投送。</x:v>
      </x:c>
      <x:c r="N157" s="2" t="str">
        <x:v>https://github.com/SkyeShade/HD2Runtime/tree/96ab2d258d867a5df4f22bb7b3321d84d28de21d</x:v>
      </x:c>
      <x:c r="O157" s="2" t="str">
        <x:v>Wiki背景已核对；价格为MOD标准</x:v>
      </x:c>
      <x:c r="P157" s="2" t="str">
        <x:v>B/FLAM-80 Cremator Backpack</x:v>
      </x:c>
      <x:c r="Q157" s="2" t="str">
        <x:v>中文Wiki用名</x:v>
      </x:c>
      <x:c r="R157" s="25" t="str">
        <x:v>焚燃者的配套大型燃料罐与供料组件。</x:v>
      </x:c>
      <x:c r="S157" s="25" t="str">
        <x:v>按专用燃料、药剂或装药计价，设备与耗材分开；现有基价与对应构造相符。</x:v>
      </x:c>
      <x:c r="T157" s="25" t="str">
        <x:v>Wiki原文已逐页核对 · 2026-10-08</x:v>
      </x:c>
    </x:row>
    <x:row r="158" ht="52" customHeight="1">
      <x:c r="A158" s="8" t="str">
        <x:v>EQ-153</x:v>
      </x:c>
      <x:c r="B158" s="8" t="str">
        <x:v>背包</x:v>
      </x:c>
      <x:c r="C158" s="8" t="str">
        <x:v>GL-28 弹链式榴弹发射器弹药背包</x:v>
      </x:c>
      <x:c r="D158" s="14" t="n">
        <x:f>ROUND('定价参数'!$D$72*I158,2)</x:f>
        <x:v>1000</x:v>
      </x:c>
      <x:c r="E158" s="8" t="str">
        <x:v>—</x:v>
      </x:c>
      <x:c r="F158" s="14" t="n">
        <x:f>0</x:f>
        <x:v>0</x:v>
      </x:c>
      <x:c r="G158" s="8" t="str">
        <x:v>已含调用价/随主装备</x:v>
      </x:c>
      <x:c r="H158" s="14" t="n">
        <x:f>0</x:f>
        <x:v>0</x:v>
      </x:c>
      <x:c r="I158" s="11" t="n">
        <x:v>2</x:v>
      </x:c>
      <x:c r="J158" s="11" t="n">
        <x:v>1</x:v>
      </x:c>
      <x:c r="K158" s="8" t="str">
        <x:v>B_BP</x:v>
      </x:c>
      <x:c r="L158" s="8" t="str"/>
      <x:c r="M158" s="8" t="str">
        <x:v>自主无人机、能源或核装药按调用整包；补给包只记本体和投送。</x:v>
      </x:c>
      <x:c r="N158" s="8" t="str">
        <x:v>https://github.com/SkyeShade/HD2Runtime/tree/96ab2d258d867a5df4f22bb7b3321d84d28de21d</x:v>
      </x:c>
      <x:c r="O158" s="8" t="str">
        <x:v>Wiki背景已核对；价格为MOD标准</x:v>
      </x:c>
      <x:c r="P158" s="8" t="str">
        <x:v>GL-28 Belt-Fed Grenade Launcher Backpack</x:v>
      </x:c>
      <x:c r="Q158" s="8" t="str">
        <x:v>中文Wiki用名</x:v>
      </x:c>
      <x:c r="R158" s="62" t="str">
        <x:v>弹链式榴弹发射器的配套供弹背包。</x:v>
      </x:c>
      <x:c r="S158" s="62" t="str">
        <x:v>保留对应载具/背包系统价，装备功能已核对；随设备一次投送的配套组件不重复采购。</x:v>
      </x:c>
      <x:c r="T158" s="62" t="str">
        <x:v>Wiki原文已逐页核对 · 2026-10-08</x:v>
      </x:c>
    </x:row>
    <x:row r="159" ht="52" customHeight="1">
      <x:c r="A159" s="2" t="str">
        <x:v>EQ-154</x:v>
      </x:c>
      <x:c r="B159" s="2" t="str">
        <x:v>背包</x:v>
      </x:c>
      <x:c r="C159" s="2" t="str">
        <x:v>M-1000 重装机枪弹药背包</x:v>
      </x:c>
      <x:c r="D159" s="15" t="n">
        <x:f>ROUND('定价参数'!$D$72*I159,2)</x:f>
        <x:v>1000</x:v>
      </x:c>
      <x:c r="E159" s="2" t="str">
        <x:v>—</x:v>
      </x:c>
      <x:c r="F159" s="15" t="n">
        <x:f>0</x:f>
        <x:v>0</x:v>
      </x:c>
      <x:c r="G159" s="2" t="str">
        <x:v>已含调用价/随主装备</x:v>
      </x:c>
      <x:c r="H159" s="15" t="n">
        <x:f>0</x:f>
        <x:v>0</x:v>
      </x:c>
      <x:c r="I159" s="11" t="n">
        <x:v>2</x:v>
      </x:c>
      <x:c r="J159" s="11" t="n">
        <x:v>1</x:v>
      </x:c>
      <x:c r="K159" s="2" t="str">
        <x:v>B_BP</x:v>
      </x:c>
      <x:c r="L159" s="2" t="str"/>
      <x:c r="M159" s="2" t="str">
        <x:v>自主无人机、能源或核装药按调用整包；补给包只记本体和投送。</x:v>
      </x:c>
      <x:c r="N159" s="2" t="str">
        <x:v>https://github.com/SkyeShade/HD2Runtime/tree/96ab2d258d867a5df4f22bb7b3321d84d28de21d</x:v>
      </x:c>
      <x:c r="O159" s="2" t="str">
        <x:v>Wiki背景已核对；价格为MOD标准</x:v>
      </x:c>
      <x:c r="P159" s="2" t="str">
        <x:v>M-1000 Maxigun Backpack</x:v>
      </x:c>
      <x:c r="Q159" s="2" t="str">
        <x:v>中文Wiki用名</x:v>
      </x:c>
      <x:c r="R159" s="25" t="str">
        <x:v>重装转管机枪的配套弹链供弹背包。</x:v>
      </x:c>
      <x:c r="S159" s="25" t="str">
        <x:v>保留对应载具/背包系统价，装备功能已核对；随设备一次投送的配套组件不重复采购。</x:v>
      </x:c>
      <x:c r="T159" s="25" t="str">
        <x:v>Wiki原文已逐页核对 · 2026-10-08</x:v>
      </x:c>
    </x:row>
    <x:row r="160" ht="52" customHeight="1">
      <x:c r="A160" s="8" t="str">
        <x:v>EQ-155</x:v>
      </x:c>
      <x:c r="B160" s="8" t="str">
        <x:v>载具</x:v>
      </x:c>
      <x:c r="C160" s="8" t="str">
        <x:v>M-103 补给型快速侦察载具</x:v>
      </x:c>
      <x:c r="D160" s="14" t="n">
        <x:f>ROUND('定价参数'!$D$79*I160,2)</x:f>
        <x:v>144000</x:v>
      </x:c>
      <x:c r="E160" s="8" t="str">
        <x:v>—</x:v>
      </x:c>
      <x:c r="F160" s="14" t="n">
        <x:f>0</x:f>
        <x:v>0</x:v>
      </x:c>
      <x:c r="G160" s="8" t="str">
        <x:v>已含调用价/场景参考</x:v>
      </x:c>
      <x:c r="H160" s="14" t="n">
        <x:f>0</x:f>
        <x:v>0</x:v>
      </x:c>
      <x:c r="I160" s="11" t="n">
        <x:v>1.2</x:v>
      </x:c>
      <x:c r="J160" s="11" t="n">
        <x:v>1</x:v>
      </x:c>
      <x:c r="K160" s="8" t="str">
        <x:v>B_FRV</x:v>
      </x:c>
      <x:c r="L160" s="8" t="str"/>
      <x:c r="M160" s="8" t="str">
        <x:v>本体、标准弹药包与运输按调用整包记账；车载射击不重复增加总额。</x:v>
      </x:c>
      <x:c r="N160" s="8" t="str">
        <x:v>https://github.com/SkyeShade/HD2Runtime/tree/96ab2d258d867a5df4f22bb7b3321d84d28de21d</x:v>
      </x:c>
      <x:c r="O160" s="8" t="str">
        <x:v>Wiki背景已核对；价格为MOD标准</x:v>
      </x:c>
      <x:c r="P160" s="8" t="str">
        <x:v>M-103 Supply FRV</x:v>
      </x:c>
      <x:c r="Q160" s="8" t="str">
        <x:v>中文Wiki用名</x:v>
      </x:c>
      <x:c r="R160" s="62" t="str">
        <x:v>快速侦察载具，携带自动防御炮塔与补给架。</x:v>
      </x:c>
      <x:c r="S160" s="62" t="str">
        <x:v>保留对应载具/背包系统价，装备功能已核对；随设备一次投送的配套组件不重复采购。</x:v>
      </x:c>
      <x:c r="T160" s="62" t="str">
        <x:v>Wiki原文已逐页核对 · 2026-10-08</x:v>
      </x:c>
    </x:row>
    <x:row r="161" ht="52" customHeight="1">
      <x:c r="A161" s="2" t="str">
        <x:v>EQ-156</x:v>
      </x:c>
      <x:c r="B161" s="2" t="str">
        <x:v>载具</x:v>
      </x:c>
      <x:c r="C161" s="2" t="str">
        <x:v>TD-110 风暴漩涡</x:v>
      </x:c>
      <x:c r="D161" s="15" t="n">
        <x:f>ROUND('定价参数'!$D$81*I161,2)</x:f>
        <x:v>3000000</x:v>
      </x:c>
      <x:c r="E161" s="2" t="str">
        <x:v>—</x:v>
      </x:c>
      <x:c r="F161" s="15" t="n">
        <x:f>0</x:f>
        <x:v>0</x:v>
      </x:c>
      <x:c r="G161" s="2" t="str">
        <x:v>已含调用价/场景参考</x:v>
      </x:c>
      <x:c r="H161" s="15" t="n">
        <x:f>0</x:f>
        <x:v>0</x:v>
      </x:c>
      <x:c r="I161" s="11" t="n">
        <x:v>0.75</x:v>
      </x:c>
      <x:c r="J161" s="11" t="n">
        <x:v>1</x:v>
      </x:c>
      <x:c r="K161" s="2" t="str">
        <x:v>B_TANK</x:v>
      </x:c>
      <x:c r="L161" s="2" t="str"/>
      <x:c r="M161" s="2" t="str">
        <x:v>本体、标准弹药包与运输按调用整包记账；车载射击不重复增加总额。</x:v>
      </x:c>
      <x:c r="N161" s="2" t="str">
        <x:v>https://github.com/SkyeShade/HD2Runtime/tree/96ab2d258d867a5df4f22bb7b3321d84d28de21d</x:v>
      </x:c>
      <x:c r="O161" s="2" t="str">
        <x:v>Wiki背景已核对；价格为MOD标准</x:v>
      </x:c>
      <x:c r="P161" s="2" t="str">
        <x:v>TD-110 Maelstrom</x:v>
      </x:c>
      <x:c r="Q161" s="2" t="str">
        <x:v>中文Wiki用名</x:v>
      </x:c>
      <x:c r="R161" s="25" t="str">
        <x:v>重装甲步兵战车，配双转管炮、烟幕与激光制导导弹井。</x:v>
      </x:c>
      <x:c r="S161" s="25" t="str">
        <x:v>Wiki明确为步兵战车而非主战坦克；保留重装甲及制导武器成本，但低于堡垒坦克歼击车。</x:v>
      </x:c>
      <x:c r="T161" s="25" t="str">
        <x:v>Wiki原文已逐页核对 · 2026-10-08</x:v>
      </x:c>
    </x:row>
    <x:row r="162" ht="52" customHeight="1">
      <x:c r="A162" s="8" t="str">
        <x:v>EQ-157</x:v>
      </x:c>
      <x:c r="B162" s="8" t="str">
        <x:v>载具</x:v>
      </x:c>
      <x:c r="C162" s="8" t="str">
        <x:v>M-104 焚烧型快速侦察载具</x:v>
      </x:c>
      <x:c r="D162" s="14" t="n">
        <x:f>ROUND('定价参数'!$D$79*I162,2)</x:f>
        <x:v>138000</x:v>
      </x:c>
      <x:c r="E162" s="8" t="str">
        <x:v>—</x:v>
      </x:c>
      <x:c r="F162" s="14" t="n">
        <x:f>0</x:f>
        <x:v>0</x:v>
      </x:c>
      <x:c r="G162" s="8" t="str">
        <x:v>已含调用价/场景参考</x:v>
      </x:c>
      <x:c r="H162" s="14" t="n">
        <x:f>0</x:f>
        <x:v>0</x:v>
      </x:c>
      <x:c r="I162" s="11" t="n">
        <x:v>1.15</x:v>
      </x:c>
      <x:c r="J162" s="11" t="n">
        <x:v>1</x:v>
      </x:c>
      <x:c r="K162" s="8" t="str">
        <x:v>B_FRV</x:v>
      </x:c>
      <x:c r="L162" s="8" t="str"/>
      <x:c r="M162" s="8" t="str">
        <x:v>本体、标准弹药包与运输按调用整包记账；车载射击不重复增加总额。</x:v>
      </x:c>
      <x:c r="N162" s="8" t="str">
        <x:v>https://github.com/SkyeShade/HD2Runtime/tree/96ab2d258d867a5df4f22bb7b3321d84d28de21d</x:v>
      </x:c>
      <x:c r="O162" s="8" t="str">
        <x:v>Wiki背景已核对；价格为MOD标准</x:v>
      </x:c>
      <x:c r="P162" s="8" t="str">
        <x:v>M-104 Incinerator FRV</x:v>
      </x:c>
      <x:c r="Q162" s="8" t="str">
        <x:v>参考译名</x:v>
      </x:c>
      <x:c r="R162" s="62" t="str">
        <x:v>三座、强化装甲、撞击格栅和车顶重型喷火器的FRV。</x:v>
      </x:c>
      <x:c r="S162" s="62" t="str">
        <x:v>保留对应载具/背包系统价，装备功能已核对；随设备一次投送的配套组件不重复采购。</x:v>
      </x:c>
      <x:c r="T162" s="62" t="str">
        <x:v>Wiki原文已逐页核对 · 2026-10-08</x:v>
      </x:c>
    </x:row>
    <x:row r="163" ht="52" customHeight="1">
      <x:c r="A163" s="2" t="str">
        <x:v>EQ-158</x:v>
      </x:c>
      <x:c r="B163" s="2" t="str">
        <x:v>载具</x:v>
      </x:c>
      <x:c r="C163" s="2" t="str">
        <x:v>EXO-49 解放者外骨骼装甲</x:v>
      </x:c>
      <x:c r="D163" s="15" t="n">
        <x:f>ROUND('定价参数'!$D$80*I163,2)</x:f>
        <x:v>1500000</x:v>
      </x:c>
      <x:c r="E163" s="2" t="str">
        <x:v>—</x:v>
      </x:c>
      <x:c r="F163" s="15" t="n">
        <x:f>0</x:f>
        <x:v>0</x:v>
      </x:c>
      <x:c r="G163" s="2" t="str">
        <x:v>已含调用价/场景参考</x:v>
      </x:c>
      <x:c r="H163" s="15" t="n">
        <x:f>0</x:f>
        <x:v>0</x:v>
      </x:c>
      <x:c r="I163" s="11" t="n">
        <x:v>1</x:v>
      </x:c>
      <x:c r="J163" s="11" t="n">
        <x:v>1</x:v>
      </x:c>
      <x:c r="K163" s="2" t="str">
        <x:v>B_EXO</x:v>
      </x:c>
      <x:c r="L163" s="2" t="str"/>
      <x:c r="M163" s="2" t="str">
        <x:v>本体、标准弹药包与运输按调用整包记账；车载射击不重复增加总额。</x:v>
      </x:c>
      <x:c r="N163" s="2" t="str">
        <x:v>https://github.com/SkyeShade/HD2Runtime/tree/96ab2d258d867a5df4f22bb7b3321d84d28de21d</x:v>
      </x:c>
      <x:c r="O163" s="2" t="str">
        <x:v>Wiki背景已核对；价格为MOD标准</x:v>
      </x:c>
      <x:c r="P163" s="2" t="str">
        <x:v>EXO-49 Emancipator Exosuit</x:v>
      </x:c>
      <x:c r="Q163" s="2" t="str">
        <x:v>中文Wiki用名</x:v>
      </x:c>
      <x:c r="R163" s="25" t="str">
        <x:v>配双机炮的持续爆炸火力外骨骼。</x:v>
      </x:c>
      <x:c r="S163" s="25" t="str">
        <x:v>保留对应载具/背包系统价，装备功能已核对；随设备一次投送的配套组件不重复采购。</x:v>
      </x:c>
      <x:c r="T163" s="25" t="str">
        <x:v>Wiki原文已逐页核对 · 2026-10-08</x:v>
      </x:c>
    </x:row>
    <x:row r="164" ht="52" customHeight="1">
      <x:c r="A164" s="8" t="str">
        <x:v>EQ-159</x:v>
      </x:c>
      <x:c r="B164" s="8" t="str">
        <x:v>载具</x:v>
      </x:c>
      <x:c r="C164" s="8" t="str">
        <x:v>EXO-45 爱国者外骨骼装甲</x:v>
      </x:c>
      <x:c r="D164" s="14" t="n">
        <x:f>ROUND('定价参数'!$D$80*I164,2)</x:f>
        <x:v>1500000</x:v>
      </x:c>
      <x:c r="E164" s="8" t="str">
        <x:v>—</x:v>
      </x:c>
      <x:c r="F164" s="14" t="n">
        <x:f>0</x:f>
        <x:v>0</x:v>
      </x:c>
      <x:c r="G164" s="8" t="str">
        <x:v>已含调用价/场景参考</x:v>
      </x:c>
      <x:c r="H164" s="14" t="n">
        <x:f>0</x:f>
        <x:v>0</x:v>
      </x:c>
      <x:c r="I164" s="11" t="n">
        <x:v>1</x:v>
      </x:c>
      <x:c r="J164" s="11" t="n">
        <x:v>1</x:v>
      </x:c>
      <x:c r="K164" s="8" t="str">
        <x:v>B_EXO</x:v>
      </x:c>
      <x:c r="L164" s="8" t="str"/>
      <x:c r="M164" s="8" t="str">
        <x:v>本体、标准弹药包与运输按调用整包记账；车载射击不重复增加总额。</x:v>
      </x:c>
      <x:c r="N164" s="8" t="str">
        <x:v>https://github.com/SkyeShade/HD2Runtime/tree/96ab2d258d867a5df4f22bb7b3321d84d28de21d</x:v>
      </x:c>
      <x:c r="O164" s="8" t="str">
        <x:v>Wiki背景已核对；价格为MOD标准</x:v>
      </x:c>
      <x:c r="P164" s="8" t="str">
        <x:v>EXO-45 Patriot Exosuit</x:v>
      </x:c>
      <x:c r="Q164" s="8" t="str">
        <x:v>参考译名</x:v>
      </x:c>
      <x:c r="R164" s="62" t="str">
        <x:v>配火箭发射器与加特林的外骨骼。</x:v>
      </x:c>
      <x:c r="S164" s="62" t="str">
        <x:v>保留对应载具/背包系统价，装备功能已核对；随设备一次投送的配套组件不重复采购。</x:v>
      </x:c>
      <x:c r="T164" s="62" t="str">
        <x:v>Wiki原文已逐页核对 · 2026-10-08</x:v>
      </x:c>
    </x:row>
    <x:row r="165" ht="52" customHeight="1">
      <x:c r="A165" s="2" t="str">
        <x:v>EQ-160</x:v>
      </x:c>
      <x:c r="B165" s="2" t="str">
        <x:v>载具</x:v>
      </x:c>
      <x:c r="C165" s="2" t="str">
        <x:v>M-102 机枪型快速侦察载具</x:v>
      </x:c>
      <x:c r="D165" s="15" t="n">
        <x:f>ROUND('定价参数'!$D$79*I165,2)</x:f>
        <x:v>120000</x:v>
      </x:c>
      <x:c r="E165" s="2" t="str">
        <x:v>—</x:v>
      </x:c>
      <x:c r="F165" s="15" t="n">
        <x:f>0</x:f>
        <x:v>0</x:v>
      </x:c>
      <x:c r="G165" s="2" t="str">
        <x:v>已含调用价/场景参考</x:v>
      </x:c>
      <x:c r="H165" s="15" t="n">
        <x:f>0</x:f>
        <x:v>0</x:v>
      </x:c>
      <x:c r="I165" s="11" t="n">
        <x:v>1</x:v>
      </x:c>
      <x:c r="J165" s="11" t="n">
        <x:v>1</x:v>
      </x:c>
      <x:c r="K165" s="2" t="str">
        <x:v>B_FRV</x:v>
      </x:c>
      <x:c r="L165" s="2" t="str"/>
      <x:c r="M165" s="2" t="str">
        <x:v>本体、标准弹药包与运输按调用整包记账；车载射击不重复增加总额。</x:v>
      </x:c>
      <x:c r="N165" s="2" t="str">
        <x:v>https://github.com/SkyeShade/HD2Runtime/tree/96ab2d258d867a5df4f22bb7b3321d84d28de21d</x:v>
      </x:c>
      <x:c r="O165" s="2" t="str">
        <x:v>Wiki背景已核对；价格为MOD标准</x:v>
      </x:c>
      <x:c r="P165" s="2" t="str">
        <x:v>M-102 Gunner FRV</x:v>
      </x:c>
      <x:c r="Q165" s="2" t="str">
        <x:v>参考译名</x:v>
      </x:c>
      <x:c r="R165" s="25" t="str">
        <x:v>轻型装甲FRV，车顶装重机枪。</x:v>
      </x:c>
      <x:c r="S165" s="25" t="str">
        <x:v>保留对应载具/背包系统价，装备功能已核对；随设备一次投送的配套组件不重复采购。</x:v>
      </x:c>
      <x:c r="T165" s="25" t="str">
        <x:v>Wiki原文已逐页核对 · 2026-10-08</x:v>
      </x:c>
    </x:row>
    <x:row r="166" ht="52" customHeight="1">
      <x:c r="A166" s="8" t="str">
        <x:v>EQ-161</x:v>
      </x:c>
      <x:c r="B166" s="8" t="str">
        <x:v>载具</x:v>
      </x:c>
      <x:c r="C166" s="8" t="str">
        <x:v>TD-220 堡垒 MK XVI</x:v>
      </x:c>
      <x:c r="D166" s="14" t="n">
        <x:f>ROUND('定价参数'!$D$81*I166,2)</x:f>
        <x:v>4000000</x:v>
      </x:c>
      <x:c r="E166" s="8" t="str">
        <x:v>—</x:v>
      </x:c>
      <x:c r="F166" s="14" t="n">
        <x:f>0</x:f>
        <x:v>0</x:v>
      </x:c>
      <x:c r="G166" s="8" t="str">
        <x:v>已含调用价/场景参考</x:v>
      </x:c>
      <x:c r="H166" s="14" t="n">
        <x:f>0</x:f>
        <x:v>0</x:v>
      </x:c>
      <x:c r="I166" s="11" t="n">
        <x:v>1</x:v>
      </x:c>
      <x:c r="J166" s="11" t="n">
        <x:v>1</x:v>
      </x:c>
      <x:c r="K166" s="8" t="str">
        <x:v>B_TANK</x:v>
      </x:c>
      <x:c r="L166" s="8" t="str"/>
      <x:c r="M166" s="8" t="str">
        <x:v>本体、标准弹药包与运输按调用整包记账；车载射击不重复增加总额。</x:v>
      </x:c>
      <x:c r="N166" s="8" t="str">
        <x:v>https://github.com/SkyeShade/HD2Runtime/tree/96ab2d258d867a5df4f22bb7b3321d84d28de21d</x:v>
      </x:c>
      <x:c r="O166" s="8" t="str">
        <x:v>Wiki背景已核对；价格为MOD标准</x:v>
      </x:c>
      <x:c r="P166" s="8" t="str">
        <x:v>TD-220 Bastion MK XVI</x:v>
      </x:c>
      <x:c r="Q166" s="8" t="str">
        <x:v>中文Wiki用名</x:v>
      </x:c>
      <x:c r="R166" s="62" t="str">
        <x:v>重装甲坦克歼击车，配120mm高速炮与同轴重机枪。</x:v>
      </x:c>
      <x:c r="S166" s="62" t="str">
        <x:v>保留对应载具/背包系统价，装备功能已核对；随设备一次投送的配套组件不重复采购。</x:v>
      </x:c>
      <x:c r="T166" s="62" t="str">
        <x:v>Wiki原文已逐页核对 · 2026-10-08</x:v>
      </x:c>
    </x:row>
    <x:row r="167" ht="52" customHeight="1">
      <x:c r="A167" s="2" t="str">
        <x:v>EQ-162</x:v>
      </x:c>
      <x:c r="B167" s="2" t="str">
        <x:v>载具</x:v>
      </x:c>
      <x:c r="C167" s="2" t="str">
        <x:v>EXO-55 突破者外骨骼装甲</x:v>
      </x:c>
      <x:c r="D167" s="15" t="n">
        <x:f>ROUND('定价参数'!$D$80*I167,2)</x:f>
        <x:v>1500000</x:v>
      </x:c>
      <x:c r="E167" s="2" t="str">
        <x:v>—</x:v>
      </x:c>
      <x:c r="F167" s="15" t="n">
        <x:f>0</x:f>
        <x:v>0</x:v>
      </x:c>
      <x:c r="G167" s="2" t="str">
        <x:v>已含调用价/场景参考</x:v>
      </x:c>
      <x:c r="H167" s="15" t="n">
        <x:f>0</x:f>
        <x:v>0</x:v>
      </x:c>
      <x:c r="I167" s="11" t="n">
        <x:v>1</x:v>
      </x:c>
      <x:c r="J167" s="11" t="n">
        <x:v>1</x:v>
      </x:c>
      <x:c r="K167" s="2" t="str">
        <x:v>B_EXO</x:v>
      </x:c>
      <x:c r="L167" s="2" t="str"/>
      <x:c r="M167" s="2" t="str">
        <x:v>本体、标准弹药包与运输按调用整包记账；车载射击不重复增加总额。</x:v>
      </x:c>
      <x:c r="N167" s="2" t="str">
        <x:v>https://github.com/SkyeShade/HD2Runtime/tree/96ab2d258d867a5df4f22bb7b3321d84d28de21d</x:v>
      </x:c>
      <x:c r="O167" s="2" t="str">
        <x:v>Wiki背景已核对；价格为MOD标准</x:v>
      </x:c>
      <x:c r="P167" s="2" t="str">
        <x:v>EXO-55 Breakthrough Exosuit</x:v>
      </x:c>
      <x:c r="Q167" s="2" t="str">
        <x:v>参考译名</x:v>
      </x:c>
      <x:c r="R167" s="25" t="str">
        <x:v>配重型防空炮及防弹盾的外骨骼。</x:v>
      </x:c>
      <x:c r="S167" s="25" t="str">
        <x:v>保留对应载具/背包系统价，装备功能已核对；随设备一次投送的配套组件不重复采购。</x:v>
      </x:c>
      <x:c r="T167" s="25" t="str">
        <x:v>Wiki原文已逐页核对 · 2026-10-08</x:v>
      </x:c>
    </x:row>
    <x:row r="168" ht="52" customHeight="1">
      <x:c r="A168" s="8" t="str">
        <x:v>EQ-163</x:v>
      </x:c>
      <x:c r="B168" s="8" t="str">
        <x:v>载具</x:v>
      </x:c>
      <x:c r="C168" s="8" t="str">
        <x:v>EXO-51 伐木者外骨骼装甲</x:v>
      </x:c>
      <x:c r="D168" s="14" t="n">
        <x:f>ROUND('定价参数'!$D$80*I168,2)</x:f>
        <x:v>1500000</x:v>
      </x:c>
      <x:c r="E168" s="8" t="str">
        <x:v>—</x:v>
      </x:c>
      <x:c r="F168" s="14" t="n">
        <x:f>0</x:f>
        <x:v>0</x:v>
      </x:c>
      <x:c r="G168" s="8" t="str">
        <x:v>已含调用价/场景参考</x:v>
      </x:c>
      <x:c r="H168" s="14" t="n">
        <x:f>0</x:f>
        <x:v>0</x:v>
      </x:c>
      <x:c r="I168" s="11" t="n">
        <x:v>1</x:v>
      </x:c>
      <x:c r="J168" s="11" t="n">
        <x:v>1</x:v>
      </x:c>
      <x:c r="K168" s="8" t="str">
        <x:v>B_EXO</x:v>
      </x:c>
      <x:c r="L168" s="8" t="str"/>
      <x:c r="M168" s="8" t="str">
        <x:v>本体、标准弹药包与运输按调用整包记账；车载射击不重复增加总额。</x:v>
      </x:c>
      <x:c r="N168" s="8" t="str">
        <x:v>https://github.com/SkyeShade/HD2Runtime/tree/96ab2d258d867a5df4f22bb7b3321d84d28de21d</x:v>
      </x:c>
      <x:c r="O168" s="8" t="str">
        <x:v>Wiki背景已核对；价格为MOD标准</x:v>
      </x:c>
      <x:c r="P168" s="8" t="str">
        <x:v>EXO-51 Lumberer Exosuit</x:v>
      </x:c>
      <x:c r="Q168" s="8" t="str">
        <x:v>参考译名</x:v>
      </x:c>
      <x:c r="R168" s="62" t="str">
        <x:v>配火焰喷射器与反坦克炮的外骨骼。</x:v>
      </x:c>
      <x:c r="S168" s="62" t="str">
        <x:v>按专用燃料、药剂或装药计价，设备与耗材分开；现有基价与对应构造相符。</x:v>
      </x:c>
      <x:c r="T168" s="62" t="str">
        <x:v>Wiki原文已逐页核对 · 2026-10-08</x:v>
      </x:c>
    </x:row>
    <x:row r="169" ht="52" customHeight="1">
      <x:c r="A169" s="2" t="str">
        <x:v>EQ-164</x:v>
      </x:c>
      <x:c r="B169" s="2" t="str">
        <x:v>载具</x:v>
      </x:c>
      <x:c r="C169" s="2" t="str">
        <x:v>FRV 快速侦察载具（超级地球型）</x:v>
      </x:c>
      <x:c r="D169" s="15" t="n">
        <x:f>ROUND('定价参数'!$D$79*I169,2)</x:f>
        <x:v>120000</x:v>
      </x:c>
      <x:c r="E169" s="2" t="str">
        <x:v>—</x:v>
      </x:c>
      <x:c r="F169" s="15" t="n">
        <x:f>0</x:f>
        <x:v>0</x:v>
      </x:c>
      <x:c r="G169" s="2" t="str">
        <x:v>场景既有载具；上车不新采购</x:v>
      </x:c>
      <x:c r="H169" s="15" t="n">
        <x:f>0</x:f>
        <x:v>0</x:v>
      </x:c>
      <x:c r="I169" s="11" t="n">
        <x:v>1</x:v>
      </x:c>
      <x:c r="J169" s="11" t="n">
        <x:v>1</x:v>
      </x:c>
      <x:c r="K169" s="2" t="str">
        <x:v>B_FRV</x:v>
      </x:c>
      <x:c r="L169" s="2" t="str"/>
      <x:c r="M169" s="2" t="str">
        <x:v>SDK为native_only，callInStratagem未知且无玩家调用定义；按FRV价值列示，上车不收新采购和投送费。仅凭实体定义不能证明所有地图刷新规则。</x:v>
      </x:c>
      <x:c r="N169" s="2" t="str">
        <x:v>https://github.com/SkyeShade/HD2Runtime/blob/96ab2d258d867a5df4f22bb7b3321d84d28de21d/docs/vehicle-authoring.md</x:v>
      </x:c>
      <x:c r="O169" s="2" t="str">
        <x:v>原生场景FRV；玩家调用未定义</x:v>
      </x:c>
      <x:c r="P169" s="2" t="str">
        <x:v>FRV (Super Earth variant)</x:v>
      </x:c>
      <x:c r="Q169" s="2" t="str">
        <x:v>说明性译名</x:v>
      </x:c>
      <x:c r="R169" s="25" t="str">
        <x:v>SDK原生场景FRV：2400主生命值、装甲等级3、frv_mg机枪；无玩家战备调用定义。</x:v>
      </x:c>
      <x:c r="S169" s="25" t="str">
        <x:v>原生场景FRV实体，不是坦克；按FRV价值120000 MC列示，上车不产生新采购或投送费。</x:v>
      </x:c>
      <x:c r="T169" s="25" t="str">
        <x:v>原生SDK定义核对；刷新规则未证实</x:v>
      </x:c>
    </x:row>
    <x:row r="170" ht="52" customHeight="1">
      <x:c r="A170" s="8" t="str">
        <x:v>EQ-165</x:v>
      </x:c>
      <x:c r="B170" s="8" t="str">
        <x:v>增强模块</x:v>
      </x:c>
      <x:c r="C170" s="8" t="str">
        <x:v>绝地喷射舱空间优化</x:v>
      </x:c>
      <x:c r="D170" s="14" t="n">
        <x:f>ROUND('定价参数'!$D$82*I170,2)</x:f>
        <x:v>3000</x:v>
      </x:c>
      <x:c r="E170" s="8" t="str">
        <x:v>—</x:v>
      </x:c>
      <x:c r="F170" s="14" t="n">
        <x:f>0</x:f>
        <x:v>0</x:v>
      </x:c>
      <x:c r="G170" s="8" t="str">
        <x:v>采购参考；暂不自动计费</x:v>
      </x:c>
      <x:c r="H170" s="14" t="n">
        <x:f>0</x:f>
        <x:v>0</x:v>
      </x:c>
      <x:c r="I170" s="11" t="n">
        <x:v>1</x:v>
      </x:c>
      <x:c r="J170" s="11" t="n">
        <x:v>1</x:v>
      </x:c>
      <x:c r="K170" s="8" t="str">
        <x:v>B_BOOST</x:v>
      </x:c>
      <x:c r="L170" s="8" t="str"/>
      <x:c r="M170" s="8" t="str">
        <x:v>统一任务模块部署与保障标准。效果带来的实际弹药仍按原规则，不加虚构触发费。</x:v>
      </x:c>
      <x:c r="N170" s="8" t="str">
        <x:v>https://github.com/SkyeShade/HD2Runtime/tree/96ab2d258d867a5df4f22bb7b3321d84d28de21d</x:v>
      </x:c>
      <x:c r="O170" s="8" t="str">
        <x:v>资料目录已对照</x:v>
      </x:c>
      <x:c r="P170" s="8" t="str">
        <x:v>Hellpod Space Optimization</x:v>
      </x:c>
      <x:c r="Q170" s="8" t="str">
        <x:v>参考译名</x:v>
      </x:c>
      <x:c r="R170" s="62" t="str">
        <x:v>增强模块；本轮武器背景复核不调整其采购对照价。</x:v>
      </x:c>
      <x:c r="S170" s="62" t="str">
        <x:v>保留原有价格及计费范围。</x:v>
      </x:c>
      <x:c r="T170" s="62" t="str">
        <x:v>本轮范围外；原目录保留</x:v>
      </x:c>
    </x:row>
    <x:row r="171" ht="52" customHeight="1">
      <x:c r="A171" s="2" t="str">
        <x:v>EQ-166</x:v>
      </x:c>
      <x:c r="B171" s="2" t="str">
        <x:v>增强模块</x:v>
      </x:c>
      <x:c r="C171" s="2" t="str">
        <x:v>生命力增强</x:v>
      </x:c>
      <x:c r="D171" s="15" t="n">
        <x:f>ROUND('定价参数'!$D$82*I171,2)</x:f>
        <x:v>3000</x:v>
      </x:c>
      <x:c r="E171" s="2" t="str">
        <x:v>—</x:v>
      </x:c>
      <x:c r="F171" s="15" t="n">
        <x:f>0</x:f>
        <x:v>0</x:v>
      </x:c>
      <x:c r="G171" s="2" t="str">
        <x:v>采购参考；暂不自动计费</x:v>
      </x:c>
      <x:c r="H171" s="15" t="n">
        <x:f>0</x:f>
        <x:v>0</x:v>
      </x:c>
      <x:c r="I171" s="11" t="n">
        <x:v>1</x:v>
      </x:c>
      <x:c r="J171" s="11" t="n">
        <x:v>1</x:v>
      </x:c>
      <x:c r="K171" s="2" t="str">
        <x:v>B_BOOST</x:v>
      </x:c>
      <x:c r="L171" s="2" t="str"/>
      <x:c r="M171" s="2" t="str">
        <x:v>统一任务模块部署与保障标准。效果带来的实际弹药仍按原规则，不加虚构触发费。</x:v>
      </x:c>
      <x:c r="N171" s="2" t="str">
        <x:v>https://github.com/SkyeShade/HD2Runtime/tree/96ab2d258d867a5df4f22bb7b3321d84d28de21d</x:v>
      </x:c>
      <x:c r="O171" s="2" t="str">
        <x:v>资料目录已对照</x:v>
      </x:c>
      <x:c r="P171" s="2" t="str">
        <x:v>Vitality Enhancement</x:v>
      </x:c>
      <x:c r="Q171" s="2" t="str">
        <x:v>参考译名</x:v>
      </x:c>
      <x:c r="R171" s="25" t="str">
        <x:v>增强模块；本轮武器背景复核不调整其采购对照价。</x:v>
      </x:c>
      <x:c r="S171" s="25" t="str">
        <x:v>保留原有价格及计费范围。</x:v>
      </x:c>
      <x:c r="T171" s="25" t="str">
        <x:v>本轮范围外；原目录保留</x:v>
      </x:c>
    </x:row>
    <x:row r="172" ht="52" customHeight="1">
      <x:c r="A172" s="8" t="str">
        <x:v>EQ-167</x:v>
      </x:c>
      <x:c r="B172" s="8" t="str">
        <x:v>增强模块</x:v>
      </x:c>
      <x:c r="C172" s="8" t="str">
        <x:v>无人机侦察增强</x:v>
      </x:c>
      <x:c r="D172" s="14" t="n">
        <x:f>ROUND('定价参数'!$D$82*I172,2)</x:f>
        <x:v>3000</x:v>
      </x:c>
      <x:c r="E172" s="8" t="str">
        <x:v>—</x:v>
      </x:c>
      <x:c r="F172" s="14" t="n">
        <x:f>0</x:f>
        <x:v>0</x:v>
      </x:c>
      <x:c r="G172" s="8" t="str">
        <x:v>采购参考；暂不自动计费</x:v>
      </x:c>
      <x:c r="H172" s="14" t="n">
        <x:f>0</x:f>
        <x:v>0</x:v>
      </x:c>
      <x:c r="I172" s="11" t="n">
        <x:v>1</x:v>
      </x:c>
      <x:c r="J172" s="11" t="n">
        <x:v>1</x:v>
      </x:c>
      <x:c r="K172" s="8" t="str">
        <x:v>B_BOOST</x:v>
      </x:c>
      <x:c r="L172" s="8" t="str"/>
      <x:c r="M172" s="8" t="str">
        <x:v>统一任务模块部署与保障标准。效果带来的实际弹药仍按原规则，不加虚构触发费。</x:v>
      </x:c>
      <x:c r="N172" s="8" t="str">
        <x:v>https://github.com/SkyeShade/HD2Runtime/tree/96ab2d258d867a5df4f22bb7b3321d84d28de21d</x:v>
      </x:c>
      <x:c r="O172" s="8" t="str">
        <x:v>资料目录已对照</x:v>
      </x:c>
      <x:c r="P172" s="8" t="str">
        <x:v>UAV Recon Booster</x:v>
      </x:c>
      <x:c r="Q172" s="8" t="str">
        <x:v>参考译名</x:v>
      </x:c>
      <x:c r="R172" s="62" t="str">
        <x:v>增强模块；本轮武器背景复核不调整其采购对照价。</x:v>
      </x:c>
      <x:c r="S172" s="62" t="str">
        <x:v>保留原有价格及计费范围。</x:v>
      </x:c>
      <x:c r="T172" s="62" t="str">
        <x:v>本轮范围外；原目录保留</x:v>
      </x:c>
    </x:row>
    <x:row r="173" ht="52" customHeight="1">
      <x:c r="A173" s="2" t="str">
        <x:v>EQ-168</x:v>
      </x:c>
      <x:c r="B173" s="2" t="str">
        <x:v>增强模块</x:v>
      </x:c>
      <x:c r="C173" s="2" t="str">
        <x:v>体力增强</x:v>
      </x:c>
      <x:c r="D173" s="15" t="n">
        <x:f>ROUND('定价参数'!$D$82*I173,2)</x:f>
        <x:v>3000</x:v>
      </x:c>
      <x:c r="E173" s="2" t="str">
        <x:v>—</x:v>
      </x:c>
      <x:c r="F173" s="15" t="n">
        <x:f>0</x:f>
        <x:v>0</x:v>
      </x:c>
      <x:c r="G173" s="2" t="str">
        <x:v>采购参考；暂不自动计费</x:v>
      </x:c>
      <x:c r="H173" s="15" t="n">
        <x:f>0</x:f>
        <x:v>0</x:v>
      </x:c>
      <x:c r="I173" s="11" t="n">
        <x:v>1</x:v>
      </x:c>
      <x:c r="J173" s="11" t="n">
        <x:v>1</x:v>
      </x:c>
      <x:c r="K173" s="2" t="str">
        <x:v>B_BOOST</x:v>
      </x:c>
      <x:c r="L173" s="2" t="str"/>
      <x:c r="M173" s="2" t="str">
        <x:v>统一任务模块部署与保障标准。效果带来的实际弹药仍按原规则，不加虚构触发费。</x:v>
      </x:c>
      <x:c r="N173" s="2" t="str">
        <x:v>https://github.com/SkyeShade/HD2Runtime/tree/96ab2d258d867a5df4f22bb7b3321d84d28de21d</x:v>
      </x:c>
      <x:c r="O173" s="2" t="str">
        <x:v>资料目录已对照</x:v>
      </x:c>
      <x:c r="P173" s="2" t="str">
        <x:v>Stamina Enhancement</x:v>
      </x:c>
      <x:c r="Q173" s="2" t="str">
        <x:v>参考译名</x:v>
      </x:c>
      <x:c r="R173" s="25" t="str">
        <x:v>增强模块；本轮武器背景复核不调整其采购对照价。</x:v>
      </x:c>
      <x:c r="S173" s="25" t="str">
        <x:v>保留原有价格及计费范围。</x:v>
      </x:c>
      <x:c r="T173" s="25" t="str">
        <x:v>本轮范围外；原目录保留</x:v>
      </x:c>
    </x:row>
    <x:row r="174" ht="52" customHeight="1">
      <x:c r="A174" s="8" t="str">
        <x:v>EQ-169</x:v>
      </x:c>
      <x:c r="B174" s="8" t="str">
        <x:v>增强模块</x:v>
      </x:c>
      <x:c r="C174" s="8" t="str">
        <x:v>肌肉增强</x:v>
      </x:c>
      <x:c r="D174" s="14" t="n">
        <x:f>ROUND('定价参数'!$D$82*I174,2)</x:f>
        <x:v>3000</x:v>
      </x:c>
      <x:c r="E174" s="8" t="str">
        <x:v>—</x:v>
      </x:c>
      <x:c r="F174" s="14" t="n">
        <x:f>0</x:f>
        <x:v>0</x:v>
      </x:c>
      <x:c r="G174" s="8" t="str">
        <x:v>采购参考；暂不自动计费</x:v>
      </x:c>
      <x:c r="H174" s="14" t="n">
        <x:f>0</x:f>
        <x:v>0</x:v>
      </x:c>
      <x:c r="I174" s="11" t="n">
        <x:v>1</x:v>
      </x:c>
      <x:c r="J174" s="11" t="n">
        <x:v>1</x:v>
      </x:c>
      <x:c r="K174" s="8" t="str">
        <x:v>B_BOOST</x:v>
      </x:c>
      <x:c r="L174" s="8" t="str"/>
      <x:c r="M174" s="8" t="str">
        <x:v>统一任务模块部署与保障标准。效果带来的实际弹药仍按原规则，不加虚构触发费。</x:v>
      </x:c>
      <x:c r="N174" s="8" t="str">
        <x:v>https://github.com/SkyeShade/HD2Runtime/tree/96ab2d258d867a5df4f22bb7b3321d84d28de21d</x:v>
      </x:c>
      <x:c r="O174" s="8" t="str">
        <x:v>资料目录已对照</x:v>
      </x:c>
      <x:c r="P174" s="8" t="str">
        <x:v>Muscle Enhancement</x:v>
      </x:c>
      <x:c r="Q174" s="8" t="str">
        <x:v>参考译名</x:v>
      </x:c>
      <x:c r="R174" s="62" t="str">
        <x:v>增强模块；本轮武器背景复核不调整其采购对照价。</x:v>
      </x:c>
      <x:c r="S174" s="62" t="str">
        <x:v>保留原有价格及计费范围。</x:v>
      </x:c>
      <x:c r="T174" s="62" t="str">
        <x:v>本轮范围外；原目录保留</x:v>
      </x:c>
    </x:row>
    <x:row r="175" ht="52" customHeight="1">
      <x:c r="A175" s="2" t="str">
        <x:v>EQ-170</x:v>
      </x:c>
      <x:c r="B175" s="2" t="str">
        <x:v>增强模块</x:v>
      </x:c>
      <x:c r="C175" s="2" t="str">
        <x:v>增援预算增加</x:v>
      </x:c>
      <x:c r="D175" s="15" t="n">
        <x:f>ROUND('定价参数'!$D$82*I175,2)</x:f>
        <x:v>3000</x:v>
      </x:c>
      <x:c r="E175" s="2" t="str">
        <x:v>—</x:v>
      </x:c>
      <x:c r="F175" s="15" t="n">
        <x:f>0</x:f>
        <x:v>0</x:v>
      </x:c>
      <x:c r="G175" s="2" t="str">
        <x:v>采购参考；暂不自动计费</x:v>
      </x:c>
      <x:c r="H175" s="15" t="n">
        <x:f>0</x:f>
        <x:v>0</x:v>
      </x:c>
      <x:c r="I175" s="11" t="n">
        <x:v>1</x:v>
      </x:c>
      <x:c r="J175" s="11" t="n">
        <x:v>1</x:v>
      </x:c>
      <x:c r="K175" s="2" t="str">
        <x:v>B_BOOST</x:v>
      </x:c>
      <x:c r="L175" s="2" t="str"/>
      <x:c r="M175" s="2" t="str">
        <x:v>统一任务模块部署与保障标准。效果带来的实际弹药仍按原规则，不加虚构触发费。</x:v>
      </x:c>
      <x:c r="N175" s="2" t="str">
        <x:v>https://github.com/SkyeShade/HD2Runtime/tree/96ab2d258d867a5df4f22bb7b3321d84d28de21d</x:v>
      </x:c>
      <x:c r="O175" s="2" t="str">
        <x:v>资料目录已对照</x:v>
      </x:c>
      <x:c r="P175" s="2" t="str">
        <x:v>Increased Reinforcement Budget</x:v>
      </x:c>
      <x:c r="Q175" s="2" t="str">
        <x:v>参考译名</x:v>
      </x:c>
      <x:c r="R175" s="25" t="str">
        <x:v>增强模块；本轮武器背景复核不调整其采购对照价。</x:v>
      </x:c>
      <x:c r="S175" s="25" t="str">
        <x:v>保留原有价格及计费范围。</x:v>
      </x:c>
      <x:c r="T175" s="25" t="str">
        <x:v>本轮范围外；原目录保留</x:v>
      </x:c>
    </x:row>
    <x:row r="176" ht="52" customHeight="1">
      <x:c r="A176" s="8" t="str">
        <x:v>EQ-171</x:v>
      </x:c>
      <x:c r="B176" s="8" t="str">
        <x:v>增强模块</x:v>
      </x:c>
      <x:c r="C176" s="8" t="str">
        <x:v>灵活增援预算</x:v>
      </x:c>
      <x:c r="D176" s="14" t="n">
        <x:f>ROUND('定价参数'!$D$82*I176,2)</x:f>
        <x:v>3000</x:v>
      </x:c>
      <x:c r="E176" s="8" t="str">
        <x:v>—</x:v>
      </x:c>
      <x:c r="F176" s="14" t="n">
        <x:f>0</x:f>
        <x:v>0</x:v>
      </x:c>
      <x:c r="G176" s="8" t="str">
        <x:v>采购参考；暂不自动计费</x:v>
      </x:c>
      <x:c r="H176" s="14" t="n">
        <x:f>0</x:f>
        <x:v>0</x:v>
      </x:c>
      <x:c r="I176" s="11" t="n">
        <x:v>1</x:v>
      </x:c>
      <x:c r="J176" s="11" t="n">
        <x:v>1</x:v>
      </x:c>
      <x:c r="K176" s="8" t="str">
        <x:v>B_BOOST</x:v>
      </x:c>
      <x:c r="L176" s="8" t="str"/>
      <x:c r="M176" s="8" t="str">
        <x:v>统一任务模块部署与保障标准。效果带来的实际弹药仍按原规则，不加虚构触发费。</x:v>
      </x:c>
      <x:c r="N176" s="8" t="str">
        <x:v>https://github.com/SkyeShade/HD2Runtime/tree/96ab2d258d867a5df4f22bb7b3321d84d28de21d</x:v>
      </x:c>
      <x:c r="O176" s="8" t="str">
        <x:v>资料目录已对照</x:v>
      </x:c>
      <x:c r="P176" s="8" t="str">
        <x:v>Flexible Reinforcement Budget</x:v>
      </x:c>
      <x:c r="Q176" s="8" t="str">
        <x:v>参考译名</x:v>
      </x:c>
      <x:c r="R176" s="62" t="str">
        <x:v>增强模块；本轮武器背景复核不调整其采购对照价。</x:v>
      </x:c>
      <x:c r="S176" s="62" t="str">
        <x:v>保留原有价格及计费范围。</x:v>
      </x:c>
      <x:c r="T176" s="62" t="str">
        <x:v>本轮范围外；原目录保留</x:v>
      </x:c>
    </x:row>
    <x:row r="177" ht="52" customHeight="1">
      <x:c r="A177" s="2" t="str">
        <x:v>EQ-172</x:v>
      </x:c>
      <x:c r="B177" s="2" t="str">
        <x:v>增强模块</x:v>
      </x:c>
      <x:c r="C177" s="2" t="str">
        <x:v>定位扰乱</x:v>
      </x:c>
      <x:c r="D177" s="15" t="n">
        <x:f>ROUND('定价参数'!$D$82*I177,2)</x:f>
        <x:v>3000</x:v>
      </x:c>
      <x:c r="E177" s="2" t="str">
        <x:v>—</x:v>
      </x:c>
      <x:c r="F177" s="15" t="n">
        <x:f>0</x:f>
        <x:v>0</x:v>
      </x:c>
      <x:c r="G177" s="2" t="str">
        <x:v>采购参考；暂不自动计费</x:v>
      </x:c>
      <x:c r="H177" s="15" t="n">
        <x:f>0</x:f>
        <x:v>0</x:v>
      </x:c>
      <x:c r="I177" s="11" t="n">
        <x:v>1</x:v>
      </x:c>
      <x:c r="J177" s="11" t="n">
        <x:v>1</x:v>
      </x:c>
      <x:c r="K177" s="2" t="str">
        <x:v>B_BOOST</x:v>
      </x:c>
      <x:c r="L177" s="2" t="str"/>
      <x:c r="M177" s="2" t="str">
        <x:v>统一任务模块部署与保障标准。效果带来的实际弹药仍按原规则，不加虚构触发费。</x:v>
      </x:c>
      <x:c r="N177" s="2" t="str">
        <x:v>https://github.com/SkyeShade/HD2Runtime/tree/96ab2d258d867a5df4f22bb7b3321d84d28de21d</x:v>
      </x:c>
      <x:c r="O177" s="2" t="str">
        <x:v>资料目录已对照</x:v>
      </x:c>
      <x:c r="P177" s="2" t="str">
        <x:v>Localization Confusion</x:v>
      </x:c>
      <x:c r="Q177" s="2" t="str">
        <x:v>参考译名</x:v>
      </x:c>
      <x:c r="R177" s="25" t="str">
        <x:v>增强模块；本轮武器背景复核不调整其采购对照价。</x:v>
      </x:c>
      <x:c r="S177" s="25" t="str">
        <x:v>保留原有价格及计费范围。</x:v>
      </x:c>
      <x:c r="T177" s="25" t="str">
        <x:v>本轮范围外；原目录保留</x:v>
      </x:c>
    </x:row>
    <x:row r="178" ht="52" customHeight="1">
      <x:c r="A178" s="8" t="str">
        <x:v>EQ-173</x:v>
      </x:c>
      <x:c r="B178" s="8" t="str">
        <x:v>增强模块</x:v>
      </x:c>
      <x:c r="C178" s="8" t="str">
        <x:v>专业撤离驾驶员</x:v>
      </x:c>
      <x:c r="D178" s="14" t="n">
        <x:f>ROUND('定价参数'!$D$82*I178,2)</x:f>
        <x:v>3000</x:v>
      </x:c>
      <x:c r="E178" s="8" t="str">
        <x:v>—</x:v>
      </x:c>
      <x:c r="F178" s="14" t="n">
        <x:f>0</x:f>
        <x:v>0</x:v>
      </x:c>
      <x:c r="G178" s="8" t="str">
        <x:v>采购参考；暂不自动计费</x:v>
      </x:c>
      <x:c r="H178" s="14" t="n">
        <x:f>0</x:f>
        <x:v>0</x:v>
      </x:c>
      <x:c r="I178" s="11" t="n">
        <x:v>1</x:v>
      </x:c>
      <x:c r="J178" s="11" t="n">
        <x:v>1</x:v>
      </x:c>
      <x:c r="K178" s="8" t="str">
        <x:v>B_BOOST</x:v>
      </x:c>
      <x:c r="L178" s="8" t="str"/>
      <x:c r="M178" s="8" t="str">
        <x:v>统一任务模块部署与保障标准。效果带来的实际弹药仍按原规则，不加虚构触发费。</x:v>
      </x:c>
      <x:c r="N178" s="8" t="str">
        <x:v>https://github.com/SkyeShade/HD2Runtime/tree/96ab2d258d867a5df4f22bb7b3321d84d28de21d</x:v>
      </x:c>
      <x:c r="O178" s="8" t="str">
        <x:v>资料目录已对照</x:v>
      </x:c>
      <x:c r="P178" s="8" t="str">
        <x:v>Expert Extraction Pilot</x:v>
      </x:c>
      <x:c r="Q178" s="8" t="str">
        <x:v>参考译名</x:v>
      </x:c>
      <x:c r="R178" s="62" t="str">
        <x:v>增强模块；本轮武器背景复核不调整其采购对照价。</x:v>
      </x:c>
      <x:c r="S178" s="62" t="str">
        <x:v>保留原有价格及计费范围。</x:v>
      </x:c>
      <x:c r="T178" s="62" t="str">
        <x:v>本轮范围外；原目录保留</x:v>
      </x:c>
    </x:row>
    <x:row r="179" ht="52" customHeight="1">
      <x:c r="A179" s="2" t="str">
        <x:v>EQ-174</x:v>
      </x:c>
      <x:c r="B179" s="2" t="str">
        <x:v>增强模块</x:v>
      </x:c>
      <x:c r="C179" s="2" t="str">
        <x:v>激励震荡</x:v>
      </x:c>
      <x:c r="D179" s="15" t="n">
        <x:f>ROUND('定价参数'!$D$82*I179,2)</x:f>
        <x:v>3000</x:v>
      </x:c>
      <x:c r="E179" s="2" t="str">
        <x:v>—</x:v>
      </x:c>
      <x:c r="F179" s="15" t="n">
        <x:f>0</x:f>
        <x:v>0</x:v>
      </x:c>
      <x:c r="G179" s="2" t="str">
        <x:v>采购参考；暂不自动计费</x:v>
      </x:c>
      <x:c r="H179" s="15" t="n">
        <x:f>0</x:f>
        <x:v>0</x:v>
      </x:c>
      <x:c r="I179" s="11" t="n">
        <x:v>1</x:v>
      </x:c>
      <x:c r="J179" s="11" t="n">
        <x:v>1</x:v>
      </x:c>
      <x:c r="K179" s="2" t="str">
        <x:v>B_BOOST</x:v>
      </x:c>
      <x:c r="L179" s="2" t="str"/>
      <x:c r="M179" s="2" t="str">
        <x:v>统一任务模块部署与保障标准。效果带来的实际弹药仍按原规则，不加虚构触发费。</x:v>
      </x:c>
      <x:c r="N179" s="2" t="str">
        <x:v>https://github.com/SkyeShade/HD2Runtime/tree/96ab2d258d867a5df4f22bb7b3321d84d28de21d</x:v>
      </x:c>
      <x:c r="O179" s="2" t="str">
        <x:v>资料目录已对照</x:v>
      </x:c>
      <x:c r="P179" s="2" t="str">
        <x:v>Motivational Shocks</x:v>
      </x:c>
      <x:c r="Q179" s="2" t="str">
        <x:v>参考译名</x:v>
      </x:c>
      <x:c r="R179" s="25" t="str">
        <x:v>增强模块；本轮武器背景复核不调整其采购对照价。</x:v>
      </x:c>
      <x:c r="S179" s="25" t="str">
        <x:v>保留原有价格及计费范围。</x:v>
      </x:c>
      <x:c r="T179" s="25" t="str">
        <x:v>本轮范围外；原目录保留</x:v>
      </x:c>
    </x:row>
    <x:row r="180" ht="52" customHeight="1">
      <x:c r="A180" s="8" t="str">
        <x:v>EQ-175</x:v>
      </x:c>
      <x:c r="B180" s="8" t="str">
        <x:v>增强模块</x:v>
      </x:c>
      <x:c r="C180" s="8" t="str">
        <x:v>实验性输液</x:v>
      </x:c>
      <x:c r="D180" s="14" t="n">
        <x:f>ROUND('定价参数'!$D$82*I180,2)</x:f>
        <x:v>3000</x:v>
      </x:c>
      <x:c r="E180" s="8" t="str">
        <x:v>—</x:v>
      </x:c>
      <x:c r="F180" s="14" t="n">
        <x:f>0</x:f>
        <x:v>0</x:v>
      </x:c>
      <x:c r="G180" s="8" t="str">
        <x:v>采购参考；暂不自动计费</x:v>
      </x:c>
      <x:c r="H180" s="14" t="n">
        <x:f>0</x:f>
        <x:v>0</x:v>
      </x:c>
      <x:c r="I180" s="11" t="n">
        <x:v>1</x:v>
      </x:c>
      <x:c r="J180" s="11" t="n">
        <x:v>1</x:v>
      </x:c>
      <x:c r="K180" s="8" t="str">
        <x:v>B_BOOST</x:v>
      </x:c>
      <x:c r="L180" s="8" t="str"/>
      <x:c r="M180" s="8" t="str">
        <x:v>统一任务模块部署与保障标准。效果带来的实际弹药仍按原规则，不加虚构触发费。</x:v>
      </x:c>
      <x:c r="N180" s="8" t="str">
        <x:v>https://github.com/SkyeShade/HD2Runtime/tree/96ab2d258d867a5df4f22bb7b3321d84d28de21d</x:v>
      </x:c>
      <x:c r="O180" s="8" t="str">
        <x:v>资料目录已对照</x:v>
      </x:c>
      <x:c r="P180" s="8" t="str">
        <x:v>Experimental Infusion</x:v>
      </x:c>
      <x:c r="Q180" s="8" t="str">
        <x:v>参考译名</x:v>
      </x:c>
      <x:c r="R180" s="62" t="str">
        <x:v>增强模块；本轮武器背景复核不调整其采购对照价。</x:v>
      </x:c>
      <x:c r="S180" s="62" t="str">
        <x:v>保留原有价格及计费范围。</x:v>
      </x:c>
      <x:c r="T180" s="62" t="str">
        <x:v>本轮范围外；原目录保留</x:v>
      </x:c>
    </x:row>
    <x:row r="181" ht="52" customHeight="1">
      <x:c r="A181" s="2" t="str">
        <x:v>EQ-176</x:v>
      </x:c>
      <x:c r="B181" s="2" t="str">
        <x:v>增强模块</x:v>
      </x:c>
      <x:c r="C181" s="2" t="str">
        <x:v>火焰炸弹喷射舱</x:v>
      </x:c>
      <x:c r="D181" s="15" t="n">
        <x:f>ROUND('定价参数'!$D$82*I181,2)</x:f>
        <x:v>3000</x:v>
      </x:c>
      <x:c r="E181" s="2" t="str">
        <x:v>—</x:v>
      </x:c>
      <x:c r="F181" s="15" t="n">
        <x:f>0</x:f>
        <x:v>0</x:v>
      </x:c>
      <x:c r="G181" s="2" t="str">
        <x:v>采购参考；暂不自动计费</x:v>
      </x:c>
      <x:c r="H181" s="15" t="n">
        <x:f>0</x:f>
        <x:v>0</x:v>
      </x:c>
      <x:c r="I181" s="11" t="n">
        <x:v>1</x:v>
      </x:c>
      <x:c r="J181" s="11" t="n">
        <x:v>1</x:v>
      </x:c>
      <x:c r="K181" s="2" t="str">
        <x:v>B_BOOST</x:v>
      </x:c>
      <x:c r="L181" s="2" t="str"/>
      <x:c r="M181" s="2" t="str">
        <x:v>统一任务模块部署与保障标准。效果带来的实际弹药仍按原规则，不加虚构触发费。</x:v>
      </x:c>
      <x:c r="N181" s="2" t="str">
        <x:v>https://github.com/SkyeShade/HD2Runtime/tree/96ab2d258d867a5df4f22bb7b3321d84d28de21d</x:v>
      </x:c>
      <x:c r="O181" s="2" t="str">
        <x:v>资料目录已对照</x:v>
      </x:c>
      <x:c r="P181" s="2" t="str">
        <x:v>Firebomb Hellpods</x:v>
      </x:c>
      <x:c r="Q181" s="2" t="str">
        <x:v>参考译名</x:v>
      </x:c>
      <x:c r="R181" s="25" t="str">
        <x:v>增强模块；本轮武器背景复核不调整其采购对照价。</x:v>
      </x:c>
      <x:c r="S181" s="25" t="str">
        <x:v>保留原有价格及计费范围。</x:v>
      </x:c>
      <x:c r="T181" s="25" t="str">
        <x:v>本轮范围外；原目录保留</x:v>
      </x:c>
    </x:row>
    <x:row r="182" ht="52" customHeight="1">
      <x:c r="A182" s="8" t="str">
        <x:v>EQ-177</x:v>
      </x:c>
      <x:c r="B182" s="8" t="str">
        <x:v>增强模块</x:v>
      </x:c>
      <x:c r="C182" s="8" t="str">
        <x:v>致命冲刺</x:v>
      </x:c>
      <x:c r="D182" s="14" t="n">
        <x:f>ROUND('定价参数'!$D$82*I182,2)</x:f>
        <x:v>3000</x:v>
      </x:c>
      <x:c r="E182" s="8" t="str">
        <x:v>—</x:v>
      </x:c>
      <x:c r="F182" s="14" t="n">
        <x:f>0</x:f>
        <x:v>0</x:v>
      </x:c>
      <x:c r="G182" s="8" t="str">
        <x:v>采购参考；暂不自动计费</x:v>
      </x:c>
      <x:c r="H182" s="14" t="n">
        <x:f>0</x:f>
        <x:v>0</x:v>
      </x:c>
      <x:c r="I182" s="11" t="n">
        <x:v>1</x:v>
      </x:c>
      <x:c r="J182" s="11" t="n">
        <x:v>1</x:v>
      </x:c>
      <x:c r="K182" s="8" t="str">
        <x:v>B_BOOST</x:v>
      </x:c>
      <x:c r="L182" s="8" t="str"/>
      <x:c r="M182" s="8" t="str">
        <x:v>统一任务模块部署与保障标准。效果带来的实际弹药仍按原规则，不加虚构触发费。</x:v>
      </x:c>
      <x:c r="N182" s="8" t="str">
        <x:v>https://github.com/SkyeShade/HD2Runtime/tree/96ab2d258d867a5df4f22bb7b3321d84d28de21d</x:v>
      </x:c>
      <x:c r="O182" s="8" t="str">
        <x:v>资料目录已对照</x:v>
      </x:c>
      <x:c r="P182" s="8" t="str">
        <x:v>Dead Sprint</x:v>
      </x:c>
      <x:c r="Q182" s="8" t="str">
        <x:v>参考译名</x:v>
      </x:c>
      <x:c r="R182" s="62" t="str">
        <x:v>增强模块；本轮武器背景复核不调整其采购对照价。</x:v>
      </x:c>
      <x:c r="S182" s="62" t="str">
        <x:v>保留原有价格及计费范围。</x:v>
      </x:c>
      <x:c r="T182" s="62" t="str">
        <x:v>本轮范围外；原目录保留</x:v>
      </x:c>
    </x:row>
    <x:row r="183" ht="52" customHeight="1">
      <x:c r="A183" s="2" t="str">
        <x:v>EQ-178</x:v>
      </x:c>
      <x:c r="B183" s="2" t="str">
        <x:v>增强模块</x:v>
      </x:c>
      <x:c r="C183" s="2" t="str">
        <x:v>武装补给喷射舱</x:v>
      </x:c>
      <x:c r="D183" s="15" t="n">
        <x:f>ROUND('定价参数'!$D$82*I183,2)</x:f>
        <x:v>3000</x:v>
      </x:c>
      <x:c r="E183" s="2" t="str">
        <x:v>—</x:v>
      </x:c>
      <x:c r="F183" s="15" t="n">
        <x:f>0</x:f>
        <x:v>0</x:v>
      </x:c>
      <x:c r="G183" s="2" t="str">
        <x:v>采购参考；暂不自动计费</x:v>
      </x:c>
      <x:c r="H183" s="15" t="n">
        <x:f>0</x:f>
        <x:v>0</x:v>
      </x:c>
      <x:c r="I183" s="11" t="n">
        <x:v>1</x:v>
      </x:c>
      <x:c r="J183" s="11" t="n">
        <x:v>1</x:v>
      </x:c>
      <x:c r="K183" s="2" t="str">
        <x:v>B_BOOST</x:v>
      </x:c>
      <x:c r="L183" s="2" t="str"/>
      <x:c r="M183" s="2" t="str">
        <x:v>统一任务模块部署与保障标准。效果带来的实际弹药仍按原规则，不加虚构触发费。</x:v>
      </x:c>
      <x:c r="N183" s="2" t="str">
        <x:v>https://github.com/SkyeShade/HD2Runtime/tree/96ab2d258d867a5df4f22bb7b3321d84d28de21d</x:v>
      </x:c>
      <x:c r="O183" s="2" t="str">
        <x:v>资料目录已对照</x:v>
      </x:c>
      <x:c r="P183" s="2" t="str">
        <x:v>Armed Resupply Pods</x:v>
      </x:c>
      <x:c r="Q183" s="2" t="str">
        <x:v>参考译名</x:v>
      </x:c>
      <x:c r="R183" s="25" t="str">
        <x:v>增强模块；本轮武器背景复核不调整其采购对照价。</x:v>
      </x:c>
      <x:c r="S183" s="25" t="str">
        <x:v>保留原有价格及计费范围。</x:v>
      </x:c>
      <x:c r="T183" s="25" t="str">
        <x:v>本轮范围外；原目录保留</x:v>
      </x:c>
    </x:row>
    <x:row r="184" ht="52" customHeight="1">
      <x:c r="A184" s="8" t="str">
        <x:v>EQ-179</x:v>
      </x:c>
      <x:c r="B184" s="8" t="str">
        <x:v>增强模块</x:v>
      </x:c>
      <x:c r="C184" s="8" t="str">
        <x:v>样本提取器</x:v>
      </x:c>
      <x:c r="D184" s="14" t="n">
        <x:f>ROUND('定价参数'!$D$82*I184,2)</x:f>
        <x:v>3000</x:v>
      </x:c>
      <x:c r="E184" s="8" t="str">
        <x:v>—</x:v>
      </x:c>
      <x:c r="F184" s="14" t="n">
        <x:f>0</x:f>
        <x:v>0</x:v>
      </x:c>
      <x:c r="G184" s="8" t="str">
        <x:v>采购参考；暂不自动计费</x:v>
      </x:c>
      <x:c r="H184" s="14" t="n">
        <x:f>0</x:f>
        <x:v>0</x:v>
      </x:c>
      <x:c r="I184" s="11" t="n">
        <x:v>1</x:v>
      </x:c>
      <x:c r="J184" s="11" t="n">
        <x:v>1</x:v>
      </x:c>
      <x:c r="K184" s="8" t="str">
        <x:v>B_BOOST</x:v>
      </x:c>
      <x:c r="L184" s="8" t="str"/>
      <x:c r="M184" s="8" t="str">
        <x:v>统一任务模块部署与保障标准。效果带来的实际弹药仍按原规则，不加虚构触发费。</x:v>
      </x:c>
      <x:c r="N184" s="8" t="str">
        <x:v>https://github.com/SkyeShade/HD2Runtime/tree/96ab2d258d867a5df4f22bb7b3321d84d28de21d</x:v>
      </x:c>
      <x:c r="O184" s="8" t="str">
        <x:v>资料目录已对照</x:v>
      </x:c>
      <x:c r="P184" s="8" t="str">
        <x:v>Sample Extricator</x:v>
      </x:c>
      <x:c r="Q184" s="8" t="str">
        <x:v>参考译名</x:v>
      </x:c>
      <x:c r="R184" s="62" t="str">
        <x:v>增强模块；本轮武器背景复核不调整其采购对照价。</x:v>
      </x:c>
      <x:c r="S184" s="62" t="str">
        <x:v>保留原有价格及计费范围。</x:v>
      </x:c>
      <x:c r="T184" s="62" t="str">
        <x:v>本轮范围外；原目录保留</x:v>
      </x:c>
    </x:row>
    <x:row r="185" ht="52" customHeight="1">
      <x:c r="A185" s="2" t="str">
        <x:v>EQ-180</x:v>
      </x:c>
      <x:c r="B185" s="2" t="str">
        <x:v>增强模块</x:v>
      </x:c>
      <x:c r="C185" s="2" t="str">
        <x:v>样本扫描器</x:v>
      </x:c>
      <x:c r="D185" s="15" t="n">
        <x:f>ROUND('定价参数'!$D$82*I185,2)</x:f>
        <x:v>3000</x:v>
      </x:c>
      <x:c r="E185" s="2" t="str">
        <x:v>—</x:v>
      </x:c>
      <x:c r="F185" s="15" t="n">
        <x:f>0</x:f>
        <x:v>0</x:v>
      </x:c>
      <x:c r="G185" s="2" t="str">
        <x:v>采购参考；暂不自动计费</x:v>
      </x:c>
      <x:c r="H185" s="15" t="n">
        <x:f>0</x:f>
        <x:v>0</x:v>
      </x:c>
      <x:c r="I185" s="11" t="n">
        <x:v>1</x:v>
      </x:c>
      <x:c r="J185" s="11" t="n">
        <x:v>1</x:v>
      </x:c>
      <x:c r="K185" s="2" t="str">
        <x:v>B_BOOST</x:v>
      </x:c>
      <x:c r="L185" s="2" t="str"/>
      <x:c r="M185" s="2" t="str">
        <x:v>统一任务模块部署与保障标准。效果带来的实际弹药仍按原规则，不加虚构触发费。</x:v>
      </x:c>
      <x:c r="N185" s="2" t="str">
        <x:v>https://github.com/SkyeShade/HD2Runtime/tree/96ab2d258d867a5df4f22bb7b3321d84d28de21d</x:v>
      </x:c>
      <x:c r="O185" s="2" t="str">
        <x:v>资料目录已对照</x:v>
      </x:c>
      <x:c r="P185" s="2" t="str">
        <x:v>Sample Scanner</x:v>
      </x:c>
      <x:c r="Q185" s="2" t="str">
        <x:v>参考译名</x:v>
      </x:c>
      <x:c r="R185" s="25" t="str">
        <x:v>增强模块；本轮武器背景复核不调整其采购对照价。</x:v>
      </x:c>
      <x:c r="S185" s="25" t="str">
        <x:v>保留原有价格及计费范围。</x:v>
      </x:c>
      <x:c r="T185" s="25" t="str">
        <x:v>本轮范围外；原目录保留</x:v>
      </x:c>
    </x:row>
    <x:row r="186" ht="52" customHeight="1">
      <x:c r="A186" s="8" t="str">
        <x:v>EQ-181</x:v>
      </x:c>
      <x:c r="B186" s="8" t="str">
        <x:v>增强模块</x:v>
      </x:c>
      <x:c r="C186" s="8" t="str">
        <x:v>眩晕喷射舱</x:v>
      </x:c>
      <x:c r="D186" s="14" t="n">
        <x:f>ROUND('定价参数'!$D$82*I186,2)</x:f>
        <x:v>3000</x:v>
      </x:c>
      <x:c r="E186" s="8" t="str">
        <x:v>—</x:v>
      </x:c>
      <x:c r="F186" s="14" t="n">
        <x:f>0</x:f>
        <x:v>0</x:v>
      </x:c>
      <x:c r="G186" s="8" t="str">
        <x:v>采购参考；暂不自动计费</x:v>
      </x:c>
      <x:c r="H186" s="14" t="n">
        <x:f>0</x:f>
        <x:v>0</x:v>
      </x:c>
      <x:c r="I186" s="11" t="n">
        <x:v>1</x:v>
      </x:c>
      <x:c r="J186" s="11" t="n">
        <x:v>1</x:v>
      </x:c>
      <x:c r="K186" s="8" t="str">
        <x:v>B_BOOST</x:v>
      </x:c>
      <x:c r="L186" s="8" t="str"/>
      <x:c r="M186" s="8" t="str">
        <x:v>统一任务模块部署与保障标准。效果带来的实际弹药仍按原规则，不加虚构触发费。</x:v>
      </x:c>
      <x:c r="N186" s="8" t="str">
        <x:v>https://github.com/SkyeShade/HD2Runtime/tree/96ab2d258d867a5df4f22bb7b3321d84d28de21d</x:v>
      </x:c>
      <x:c r="O186" s="8" t="str">
        <x:v>资料目录已对照</x:v>
      </x:c>
      <x:c r="P186" s="8" t="str">
        <x:v>Stun Pods</x:v>
      </x:c>
      <x:c r="Q186" s="8" t="str">
        <x:v>参考译名</x:v>
      </x:c>
      <x:c r="R186" s="62" t="str">
        <x:v>增强模块；本轮武器背景复核不调整其采购对照价。</x:v>
      </x:c>
      <x:c r="S186" s="62" t="str">
        <x:v>保留原有价格及计费范围。</x:v>
      </x:c>
      <x:c r="T186" s="62" t="str">
        <x:v>本轮范围外；原目录保留</x:v>
      </x:c>
    </x:row>
    <x:row r="187" ht="52" customHeight="1">
      <x:c r="A187" s="2" t="str">
        <x:v>EQ-182</x:v>
      </x:c>
      <x:c r="B187" s="2" t="str">
        <x:v>增强模块</x:v>
      </x:c>
      <x:c r="C187" s="2" t="str">
        <x:v>隐蔽投送</x:v>
      </x:c>
      <x:c r="D187" s="15" t="n">
        <x:f>ROUND('定价参数'!$D$82*I187,2)</x:f>
        <x:v>3000</x:v>
      </x:c>
      <x:c r="E187" s="2" t="str">
        <x:v>—</x:v>
      </x:c>
      <x:c r="F187" s="15" t="n">
        <x:f>0</x:f>
        <x:v>0</x:v>
      </x:c>
      <x:c r="G187" s="2" t="str">
        <x:v>采购参考；暂不自动计费</x:v>
      </x:c>
      <x:c r="H187" s="15" t="n">
        <x:f>0</x:f>
        <x:v>0</x:v>
      </x:c>
      <x:c r="I187" s="11" t="n">
        <x:v>1</x:v>
      </x:c>
      <x:c r="J187" s="11" t="n">
        <x:v>1</x:v>
      </x:c>
      <x:c r="K187" s="2" t="str">
        <x:v>B_BOOST</x:v>
      </x:c>
      <x:c r="L187" s="2" t="str"/>
      <x:c r="M187" s="2" t="str">
        <x:v>统一任务模块部署与保障标准。效果带来的实际弹药仍按原规则，不加虚构触发费。</x:v>
      </x:c>
      <x:c r="N187" s="2" t="str">
        <x:v>https://github.com/SkyeShade/HD2Runtime/tree/96ab2d258d867a5df4f22bb7b3321d84d28de21d</x:v>
      </x:c>
      <x:c r="O187" s="2" t="str">
        <x:v>资料目录已对照</x:v>
      </x:c>
      <x:c r="P187" s="2" t="str">
        <x:v>Concealed Insertion</x:v>
      </x:c>
      <x:c r="Q187" s="2" t="str">
        <x:v>参考译名</x:v>
      </x:c>
      <x:c r="R187" s="25" t="str">
        <x:v>增强模块；本轮武器背景复核不调整其采购对照价。</x:v>
      </x:c>
      <x:c r="S187" s="25" t="str">
        <x:v>保留原有价格及计费范围。</x:v>
      </x:c>
      <x:c r="T187" s="25" t="str">
        <x:v>本轮范围外；原目录保留</x:v>
      </x:c>
    </x:row>
    <x:row r="188" ht="52" customHeight="1">
      <x:c r="A188" s="8" t="str">
        <x:v>EQ-183</x:v>
      </x:c>
      <x:c r="B188" s="8" t="str">
        <x:v>增强模块</x:v>
      </x:c>
      <x:c r="C188" s="8" t="str">
        <x:v>额外反坦克武器配给</x:v>
      </x:c>
      <x:c r="D188" s="14" t="n">
        <x:f>ROUND('定价参数'!$D$82*I188,2)</x:f>
        <x:v>3000</x:v>
      </x:c>
      <x:c r="E188" s="8" t="str">
        <x:v>—</x:v>
      </x:c>
      <x:c r="F188" s="14" t="n">
        <x:f>0</x:f>
        <x:v>0</x:v>
      </x:c>
      <x:c r="G188" s="8" t="str">
        <x:v>采购参考；暂不自动计费</x:v>
      </x:c>
      <x:c r="H188" s="14" t="n">
        <x:f>0</x:f>
        <x:v>0</x:v>
      </x:c>
      <x:c r="I188" s="11" t="n">
        <x:v>1</x:v>
      </x:c>
      <x:c r="J188" s="11" t="n">
        <x:v>1</x:v>
      </x:c>
      <x:c r="K188" s="8" t="str">
        <x:v>B_BOOST</x:v>
      </x:c>
      <x:c r="L188" s="8" t="str"/>
      <x:c r="M188" s="8" t="str">
        <x:v>统一任务模块部署与保障标准。效果带来的实际弹药仍按原规则，不加虚构触发费。</x:v>
      </x:c>
      <x:c r="N188" s="8" t="str">
        <x:v>https://github.com/SkyeShade/HD2Runtime/tree/96ab2d258d867a5df4f22bb7b3321d84d28de21d</x:v>
      </x:c>
      <x:c r="O188" s="8" t="str">
        <x:v>资料目录已对照</x:v>
      </x:c>
      <x:c r="P188" s="8" t="str">
        <x:v>Surplus EAT Allocation</x:v>
      </x:c>
      <x:c r="Q188" s="8" t="str">
        <x:v>参考译名</x:v>
      </x:c>
      <x:c r="R188" s="62" t="str">
        <x:v>增强模块；本轮武器背景复核不调整其采购对照价。</x:v>
      </x:c>
      <x:c r="S188" s="62" t="str">
        <x:v>保留原有价格及计费范围。</x:v>
      </x:c>
      <x:c r="T188" s="62" t="str">
        <x:v>本轮范围外；原目录保留</x:v>
      </x:c>
    </x:row>
    <x:row r="189" ht="52" customHeight="1">
      <x:c r="A189" s="2" t="str">
        <x:v>EQ-184</x:v>
      </x:c>
      <x:c r="B189" s="2" t="str">
        <x:v>增强模块</x:v>
      </x:c>
      <x:c r="C189" s="2" t="str">
        <x:v>集成灭火器</x:v>
      </x:c>
      <x:c r="D189" s="15" t="n">
        <x:f>ROUND('定价参数'!$D$82*I189,2)</x:f>
        <x:v>3000</x:v>
      </x:c>
      <x:c r="E189" s="2" t="str">
        <x:v>—</x:v>
      </x:c>
      <x:c r="F189" s="15" t="n">
        <x:f>0</x:f>
        <x:v>0</x:v>
      </x:c>
      <x:c r="G189" s="2" t="str">
        <x:v>采购参考；暂不自动计费</x:v>
      </x:c>
      <x:c r="H189" s="15" t="n">
        <x:f>0</x:f>
        <x:v>0</x:v>
      </x:c>
      <x:c r="I189" s="11" t="n">
        <x:v>1</x:v>
      </x:c>
      <x:c r="J189" s="11" t="n">
        <x:v>1</x:v>
      </x:c>
      <x:c r="K189" s="2" t="str">
        <x:v>B_BOOST</x:v>
      </x:c>
      <x:c r="L189" s="2" t="str"/>
      <x:c r="M189" s="2" t="str">
        <x:v>统一任务模块部署与保障标准。效果带来的实际弹药仍按原规则，不加虚构触发费。</x:v>
      </x:c>
      <x:c r="N189" s="2" t="str">
        <x:v>https://github.com/SkyeShade/HD2Runtime/tree/96ab2d258d867a5df4f22bb7b3321d84d28de21d</x:v>
      </x:c>
      <x:c r="O189" s="2" t="str">
        <x:v>资料目录已对照</x:v>
      </x:c>
      <x:c r="P189" s="2" t="str">
        <x:v>Integrated Extinguishers</x:v>
      </x:c>
      <x:c r="Q189" s="2" t="str">
        <x:v>参考译名</x:v>
      </x:c>
      <x:c r="R189" s="25" t="str">
        <x:v>增强模块；本轮武器背景复核不调整其采购对照价。</x:v>
      </x:c>
      <x:c r="S189" s="25" t="str">
        <x:v>保留原有价格及计费范围。</x:v>
      </x:c>
      <x:c r="T189" s="25" t="str">
        <x:v>本轮范围外；原目录保留</x:v>
      </x:c>
    </x:row>
    <x:row r="190" ht="52" customHeight="1">
      <x:c r="A190" s="8" t="str">
        <x:v>EQ-360</x:v>
      </x:c>
      <x:c r="B190" s="8" t="str">
        <x:v>医疗补给</x:v>
      </x:c>
      <x:c r="C190" s="8" t="str">
        <x:v>标准治疗剂（Stim）</x:v>
      </x:c>
      <x:c r="D190" s="14" t="n">
        <x:f>ROUND(2500*I190,2)</x:f>
        <x:v>2500</x:v>
      </x:c>
      <x:c r="E190" s="8" t="str">
        <x:v>支</x:v>
      </x:c>
      <x:c r="F190" s="14" t="n">
        <x:f>ROUND(2500*J190,2)</x:f>
        <x:v>2500</x:v>
      </x:c>
      <x:c r="G190" s="8" t="str">
        <x:v>消耗时计费</x:v>
      </x:c>
      <x:c r="H190" s="14" t="n">
        <x:f>0</x:f>
        <x:v>0</x:v>
      </x:c>
      <x:c r="I190" s="11" t="n">
        <x:v>1</x:v>
      </x:c>
      <x:c r="J190" s="11" t="n">
        <x:v>1</x:v>
      </x:c>
      <x:c r="K190" s="8" t="str">
        <x:v>A_STIM</x:v>
      </x:c>
      <x:c r="L190" s="8" t="str">
        <x:v>A_STIM</x:v>
      </x:c>
      <x:c r="M190" s="8" t="str">
        <x:v>补给入库不计消费；实际注射计费，P-11针弹与自身注射分别统计。</x:v>
      </x:c>
      <x:c r="N190" s="8" t="str">
        <x:v>https://helldivers.wiki.gg/wiki/Stim</x:v>
      </x:c>
      <x:c r="O190" s="8" t="str">
        <x:v>资料目录已对照</x:v>
      </x:c>
      <x:c r="P190" s="8" t="str">
        <x:v>标准医疗注射剂（Stim）</x:v>
      </x:c>
      <x:c r="Q190" s="8" t="str">
        <x:v>说明性译名</x:v>
      </x:c>
      <x:c r="R190" s="62" t="str">
        <x:v>标准医疗注射剂；作为消耗品计支数。</x:v>
      </x:c>
      <x:c r="S190" s="62" t="str">
        <x:v>保留原有价格及计费范围。</x:v>
      </x:c>
      <x:c r="T190" s="62" t="str">
        <x:v>本轮范围外；原目录保留</x:v>
      </x:c>
    </x:row>
    <x:row r="191" ht="52" customHeight="1">
      <x:c r="A191" s="2" t="str">
        <x:v>EQ-361</x:v>
      </x:c>
      <x:c r="B191" s="2" t="str">
        <x:v>附属/可选弹种</x:v>
      </x:c>
      <x:c r="C191" s="2" t="str">
        <x:v>AR/GL-21 幺二 · 下挂榴弹</x:v>
      </x:c>
      <x:c r="D191" s="15" t="n">
        <x:f>0</x:f>
        <x:v>0</x:v>
      </x:c>
      <x:c r="E191" s="2" t="str">
        <x:v>枚</x:v>
      </x:c>
      <x:c r="F191" s="15" t="n">
        <x:f>ROUND('定价参数'!$D$13*J191,2)</x:f>
        <x:v>80</x:v>
      </x:c>
      <x:c r="G191" s="2" t="str">
        <x:v>消耗时计费</x:v>
      </x:c>
      <x:c r="H191" s="15" t="n">
        <x:f>0</x:f>
        <x:v>0</x:v>
      </x:c>
      <x:c r="I191" s="11" t="n">
        <x:v>1</x:v>
      </x:c>
      <x:c r="J191" s="11" t="n">
        <x:v>1</x:v>
      </x:c>
      <x:c r="K191" s="2" t="str"/>
      <x:c r="L191" s="2" t="str">
        <x:v>A_GRENADE</x:v>
      </x:c>
      <x:c r="M191" s="2" t="str">
        <x:v>和主弹种分别计数；不在同一次消耗中叠加两种价格。</x:v>
      </x:c>
      <x:c r="N191" s="2" t="str">
        <x:v>https://helldivers.wiki.gg/wiki/AR/GL-21_One-Two</x:v>
      </x:c>
      <x:c r="O191" s="2" t="str">
        <x:v>Wiki背景已核对；价格为MOD标准</x:v>
      </x:c>
      <x:c r="P191" s="2" t="str">
        <x:v>AR/GL-21 One-Two · 下挂榴弹</x:v>
      </x:c>
      <x:c r="Q191" s="2" t="str">
        <x:v>说明性译名</x:v>
      </x:c>
      <x:c r="R191" s="25" t="str">
        <x:v>幺二下挂40mm榴弹；与8mm步枪弹分开计费。</x:v>
      </x:c>
      <x:c r="S191" s="25" t="str">
        <x:v>母武器模式已核对，保留专用弹种原单价；切换模式不额外收费。</x:v>
      </x:c>
      <x:c r="T191" s="25" t="str">
        <x:v>对应母武器Wiki描述已核对</x:v>
      </x:c>
    </x:row>
    <x:row r="192" ht="52" customHeight="1">
      <x:c r="A192" s="8" t="str">
        <x:v>EQ-362</x:v>
      </x:c>
      <x:c r="B192" s="8" t="str">
        <x:v>附属/可选弹种</x:v>
      </x:c>
      <x:c r="C192" s="8" t="str">
        <x:v>AR-11 仲裁者 · 下挂10号霰弹</x:v>
      </x:c>
      <x:c r="D192" s="14" t="n">
        <x:f>0</x:f>
        <x:v>0</x:v>
      </x:c>
      <x:c r="E192" s="8" t="str">
        <x:v>发</x:v>
      </x:c>
      <x:c r="F192" s="14" t="n">
        <x:f>ROUND('定价参数'!$D$9*J192,2)</x:f>
        <x:v>3.12</x:v>
      </x:c>
      <x:c r="G192" s="8" t="str">
        <x:v>消耗时计费</x:v>
      </x:c>
      <x:c r="H192" s="14" t="n">
        <x:f>0</x:f>
        <x:v>0</x:v>
      </x:c>
      <x:c r="I192" s="11" t="n">
        <x:v>1</x:v>
      </x:c>
      <x:c r="J192" s="11" t="n">
        <x:v>6</x:v>
      </x:c>
      <x:c r="K192" s="8" t="str"/>
      <x:c r="L192" s="8" t="str">
        <x:v>A_SHOT</x:v>
      </x:c>
      <x:c r="M192" s="8" t="str">
        <x:v>和主弹种分别计数；不在同一次消耗中叠加两种价格。</x:v>
      </x:c>
      <x:c r="N192" s="8" t="str">
        <x:v>https://helldivers.wiki.gg/wiki/AR-11_Arbitrator</x:v>
      </x:c>
      <x:c r="O192" s="8" t="str">
        <x:v>Wiki背景已核对；价格为MOD标准</x:v>
      </x:c>
      <x:c r="P192" s="8" t="str">
        <x:v>AR-11 Arbitrator · underslung 10g shotgun</x:v>
      </x:c>
      <x:c r="Q192" s="8" t="str">
        <x:v>说明性译名；按Wiki下挂10g霰弹枪纠正</x:v>
      </x:c>
      <x:c r="R192" s="62" t="str">
        <x:v>仲裁者下挂10号霰弹；与4mm无壳步枪弹分开计费。</x:v>
      </x:c>
      <x:c r="S192" s="62" t="str">
        <x:v>下挂武器是10号中等穿甲霰弹枪，纠正原先重型手枪弹类别。</x:v>
      </x:c>
      <x:c r="T192" s="62" t="str">
        <x:v>对应母武器Wiki描述已核对</x:v>
      </x:c>
    </x:row>
    <x:row r="193" ht="52" customHeight="1">
      <x:c r="A193" s="2" t="str">
        <x:v>EQ-363</x:v>
      </x:c>
      <x:c r="B193" s="2" t="str">
        <x:v>附属/可选弹种</x:v>
      </x:c>
      <x:c r="C193" s="2" t="str">
        <x:v>SMG/FLAM-34 司炉者 · 下挂燃料</x:v>
      </x:c>
      <x:c r="D193" s="15" t="n">
        <x:f>0</x:f>
        <x:v>0</x:v>
      </x:c>
      <x:c r="E193" s="2" t="str">
        <x:v>显示单位</x:v>
      </x:c>
      <x:c r="F193" s="15" t="n">
        <x:f>ROUND('定价参数'!$D$25*J193,2)</x:f>
        <x:v>0.3</x:v>
      </x:c>
      <x:c r="G193" s="2" t="str">
        <x:v>消耗时计费</x:v>
      </x:c>
      <x:c r="H193" s="15" t="n">
        <x:f>0</x:f>
        <x:v>0</x:v>
      </x:c>
      <x:c r="I193" s="11" t="n">
        <x:v>1</x:v>
      </x:c>
      <x:c r="J193" s="11" t="n">
        <x:v>1</x:v>
      </x:c>
      <x:c r="K193" s="2" t="str"/>
      <x:c r="L193" s="2" t="str">
        <x:v>A_FUEL</x:v>
      </x:c>
      <x:c r="M193" s="2" t="str">
        <x:v>和主弹种分别计数；不在同一次消耗中叠加两种价格。</x:v>
      </x:c>
      <x:c r="N193" s="2" t="str">
        <x:v>https://helldivers.wiki.gg/wiki/SMG/FLAM-34_Stoker</x:v>
      </x:c>
      <x:c r="O193" s="2" t="str">
        <x:v>Wiki背景已核对；价格为MOD标准</x:v>
      </x:c>
      <x:c r="P193" s="2" t="str">
        <x:v>SMG/FLAM-34 Stoker · 下挂燃料</x:v>
      </x:c>
      <x:c r="Q193" s="2" t="str">
        <x:v>说明性译名</x:v>
      </x:c>
      <x:c r="R193" s="25" t="str">
        <x:v>司炉者下挂火焰喷射器的燃料，与冲锋枪实弹分开计费。</x:v>
      </x:c>
      <x:c r="S193" s="25" t="str">
        <x:v>母武器模式已核对，保留专用弹种原单价；切换模式不额外收费。</x:v>
      </x:c>
      <x:c r="T193" s="25" t="str">
        <x:v>对应母武器Wiki描述已核对</x:v>
      </x:c>
    </x:row>
    <x:row r="194" ht="52" customHeight="1">
      <x:c r="A194" s="8" t="str">
        <x:v>EQ-364</x:v>
      </x:c>
      <x:c r="B194" s="8" t="str">
        <x:v>附属/可选弹种</x:v>
      </x:c>
      <x:c r="C194" s="8" t="str">
        <x:v>SG-20 止息 · 电击弹</x:v>
      </x:c>
      <x:c r="D194" s="14" t="n">
        <x:f>0</x:f>
        <x:v>0</x:v>
      </x:c>
      <x:c r="E194" s="8" t="str">
        <x:v>壳</x:v>
      </x:c>
      <x:c r="F194" s="14" t="n">
        <x:f>ROUND('定价参数'!$D$9*J194,2)</x:f>
        <x:v>4.16</x:v>
      </x:c>
      <x:c r="G194" s="8" t="str">
        <x:v>消耗时计费</x:v>
      </x:c>
      <x:c r="H194" s="14" t="n">
        <x:f>0</x:f>
        <x:v>0</x:v>
      </x:c>
      <x:c r="I194" s="11" t="n">
        <x:v>1</x:v>
      </x:c>
      <x:c r="J194" s="11" t="n">
        <x:v>8</x:v>
      </x:c>
      <x:c r="K194" s="8" t="str"/>
      <x:c r="L194" s="8" t="str">
        <x:v>A_SHOT</x:v>
      </x:c>
      <x:c r="M194" s="8" t="str">
        <x:v>和主弹种分别计数；不在同一次消耗中叠加两种价格。</x:v>
      </x:c>
      <x:c r="N194" s="8" t="str">
        <x:v>https://helldivers.wiki.gg/wiki/SG-20_Halt</x:v>
      </x:c>
      <x:c r="O194" s="8" t="str">
        <x:v>Wiki背景已核对；价格为MOD标准</x:v>
      </x:c>
      <x:c r="P194" s="8" t="str">
        <x:v>SG-20 Halt · 电击弹</x:v>
      </x:c>
      <x:c r="Q194" s="8" t="str">
        <x:v>说明性译名</x:v>
      </x:c>
      <x:c r="R194" s="62" t="str">
        <x:v>止息独立弹仓的眩晕霰弹，与穿甲箭形弹分开计费。</x:v>
      </x:c>
      <x:c r="S194" s="62" t="str">
        <x:v>双弹仓的专用眩晕霰弹，相比普通霰弹需额外功能载荷。</x:v>
      </x:c>
      <x:c r="T194" s="62" t="str">
        <x:v>对应母武器Wiki描述已核对</x:v>
      </x:c>
    </x:row>
    <x:row r="195" ht="52" customHeight="1">
      <x:c r="A195" s="2" t="str">
        <x:v>EQ-365</x:v>
      </x:c>
      <x:c r="B195" s="2" t="str">
        <x:v>附属/可选弹种</x:v>
      </x:c>
      <x:c r="C195" s="2" t="str">
        <x:v>GR-8 无后坐力炮 · 高爆弹</x:v>
      </x:c>
      <x:c r="D195" s="15" t="n">
        <x:f>0</x:f>
        <x:v>0</x:v>
      </x:c>
      <x:c r="E195" s="2" t="str">
        <x:v>枚</x:v>
      </x:c>
      <x:c r="F195" s="15" t="n">
        <x:f>ROUND('定价参数'!$D$16*J195,2)</x:f>
        <x:v>2800</x:v>
      </x:c>
      <x:c r="G195" s="2" t="str">
        <x:v>消耗时计费</x:v>
      </x:c>
      <x:c r="H195" s="15" t="n">
        <x:f>0</x:f>
        <x:v>0</x:v>
      </x:c>
      <x:c r="I195" s="11" t="n">
        <x:v>1</x:v>
      </x:c>
      <x:c r="J195" s="11" t="n">
        <x:v>0.8</x:v>
      </x:c>
      <x:c r="K195" s="2" t="str"/>
      <x:c r="L195" s="2" t="str">
        <x:v>A_ROCKET</x:v>
      </x:c>
      <x:c r="M195" s="2" t="str">
        <x:v>和主弹种分别计数；不在同一次消耗中叠加两种价格。</x:v>
      </x:c>
      <x:c r="N195" s="2" t="str">
        <x:v>https://helldivers.wiki.gg/wiki/GR-8_Recoilless_Rifle</x:v>
      </x:c>
      <x:c r="O195" s="2" t="str">
        <x:v>Wiki背景已核对；价格为MOD标准</x:v>
      </x:c>
      <x:c r="P195" s="2" t="str">
        <x:v>GR-8 Recoilless Rifle · 高爆弹</x:v>
      </x:c>
      <x:c r="Q195" s="2" t="str">
        <x:v>说明性译名</x:v>
      </x:c>
      <x:c r="R195" s="25" t="str">
        <x:v>无后坐力炮的可切换高爆模式；炮弹按每枚母弹计费。</x:v>
      </x:c>
      <x:c r="S195" s="25" t="str">
        <x:v>母武器模式已核对，保留专用弹种原单价；切换模式不额外收费。</x:v>
      </x:c>
      <x:c r="T195" s="25" t="str">
        <x:v>对应母武器Wiki描述已核对</x:v>
      </x:c>
    </x:row>
    <x:row r="196" ht="52" customHeight="1">
      <x:c r="A196" s="8" t="str">
        <x:v>EQ-366</x:v>
      </x:c>
      <x:c r="B196" s="8" t="str">
        <x:v>附属/可选弹种</x:v>
      </x:c>
      <x:c r="C196" s="8" t="str">
        <x:v>AC-8 机炮 · 近炸弹</x:v>
      </x:c>
      <x:c r="D196" s="14" t="n">
        <x:f>0</x:f>
        <x:v>0</x:v>
      </x:c>
      <x:c r="E196" s="8" t="str">
        <x:v>发</x:v>
      </x:c>
      <x:c r="F196" s="14" t="n">
        <x:f>ROUND('定价参数'!$D$15*J196,2)</x:f>
        <x:v>180</x:v>
      </x:c>
      <x:c r="G196" s="8" t="str">
        <x:v>消耗时计费</x:v>
      </x:c>
      <x:c r="H196" s="14" t="n">
        <x:f>0</x:f>
        <x:v>0</x:v>
      </x:c>
      <x:c r="I196" s="11" t="n">
        <x:v>1</x:v>
      </x:c>
      <x:c r="J196" s="11" t="n">
        <x:v>1.5</x:v>
      </x:c>
      <x:c r="K196" s="8" t="str"/>
      <x:c r="L196" s="8" t="str">
        <x:v>A_AUTOCANNON</x:v>
      </x:c>
      <x:c r="M196" s="8" t="str">
        <x:v>和主弹种分别计数；不在同一次消耗中叠加两种价格。</x:v>
      </x:c>
      <x:c r="N196" s="8" t="str">
        <x:v>https://helldivers.wiki.gg/wiki/AC-8_Autocannon</x:v>
      </x:c>
      <x:c r="O196" s="8" t="str">
        <x:v>Wiki背景已核对；价格为MOD标准</x:v>
      </x:c>
      <x:c r="P196" s="8" t="str">
        <x:v>AC-8 Autocannon · 近炸弹</x:v>
      </x:c>
      <x:c r="Q196" s="8" t="str">
        <x:v>说明性译名</x:v>
      </x:c>
      <x:c r="R196" s="62" t="str">
        <x:v>AC-8的可切换近炸弹；近炸触发组件高于普通APHET弹。</x:v>
      </x:c>
      <x:c r="S196" s="62" t="str">
        <x:v>母武器模式已核对，保留专用弹种原单价；切换模式不额外收费。</x:v>
      </x:c>
      <x:c r="T196" s="62" t="str">
        <x:v>对应母武器Wiki描述已核对</x:v>
      </x:c>
    </x:row>
    <x:row r="197" ht="23" customHeight="1">
      <x:c r="A197" s="2" t="str">
        <x:v>EQ-367</x:v>
      </x:c>
      <x:c r="B197" s="2" t="str">
        <x:v>载具弹药</x:v>
      </x:c>
      <x:c r="C197" s="2" t="str">
        <x:v>鹈鹕 · 自动机炮炮弹</x:v>
      </x:c>
      <x:c r="D197" s="2" t="n">
        <x:f>'定价参数'!$D$129</x:f>
        <x:v>150</x:v>
      </x:c>
      <x:c r="E197" s="2" t="str">
        <x:v>发</x:v>
      </x:c>
      <x:c r="F197" s="2" t="n">
        <x:f>'定价参数'!$D$129</x:f>
        <x:v>150</x:v>
      </x:c>
      <x:c r="G197" s="2" t="str">
        <x:v>实际发射数计费；当前人数均分</x:v>
      </x:c>
      <x:c r="H197" s="2" t="n">
        <x:v>0</x:v>
      </x:c>
      <x:c r="I197" s="2" t="n">
        <x:v>1</x:v>
      </x:c>
      <x:c r="J197" s="2" t="n">
        <x:v>1</x:v>
      </x:c>
      <x:c r="K197" s="2" t="str">
        <x:v>A_PELICAN_SHELL</x:v>
      </x:c>
      <x:c r="L197" s="2" t="str">
        <x:v>A_PELICAN_SHELL</x:v>
      </x:c>
      <x:c r="M197" s="2" t="str">
        <x:v>撤离及载具投送的武装鹈鹕均适用。按每枚母弹实际发射计费，三发齐射算3发，不按命中、爆炸或射击音效重复记。无武装燃料型不会产生炮弹费。</x:v>
      </x:c>
      <x:c r="N197" s="2" t="str">
        <x:v>https://helldivers.wiki.gg/wiki/Extraction_Shuttle</x:v>
      </x:c>
      <x:c r="O197" s="2" t="str">
        <x:v>机炮已确认；口径及事件检测未验证</x:v>
      </x:c>
      <x:c r="P197" s="2" t="str">
        <x:v>Pelican autocannon ammunition</x:v>
      </x:c>
      <x:c r="Q197" s="2" t="str">
        <x:v>说明性译名</x:v>
      </x:c>
      <x:c r="R197" t="str">
        <x:v>撤离型及货运型鹈鹕配机鼻自动机炮，会射击附近敌人；Wiki未公布确切口径。</x:v>
      </x:c>
      <x:c r="S197" t="str">
        <x:v>每发150 MC，参照自动机炮反装甲弹档。只均分弹药实际消耗，炮弹不加人均基础值。</x:v>
      </x:c>
      <x:c r="T197" t="str">
        <x:v>用户Edge原文核对 · 2026-10-08</x:v>
      </x:c>
    </x:row>
  </x:sheetData>
  <x:pageMargins left="0.7" right="0.7" top="0.75" bottom="0.75" header="0.3" footer="0.3"/>
  <x:tableParts count="1">
    <x:tablePart xmlns:r="http://schemas.openxmlformats.org/officeDocument/2006/relationships" r:id="R31c487db472844b0"/>
  </x:tableParts>
</x:worksheet>
</file>

<file path=xl/worksheets/sheet3.xml><?xml version="1.0" encoding="utf-8"?>
<x:worksheet xmlns:x="http://schemas.openxmlformats.org/spreadsheetml/2006/main">
  <x:sheetPr>
    <x:tabColor rgb="FF223747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1" hidden="0" customWidth="1"/>
    <x:col min="2" max="2" width="16" hidden="0" customWidth="1"/>
    <x:col min="3" max="3" width="48" hidden="0" customWidth="1"/>
    <x:col min="4" max="4" width="19" hidden="0" customWidth="1"/>
    <x:col min="5" max="5" width="21" hidden="0" customWidth="1"/>
    <x:col min="6" max="6" width="21" hidden="0" customWidth="1"/>
    <x:col min="7" max="7" width="23" hidden="0" customWidth="1"/>
    <x:col min="8" max="8" width="22" hidden="0" customWidth="1"/>
    <x:col min="9" max="9" width="21" hidden="0" customWidth="1"/>
    <x:col min="10" max="10" width="22" hidden="0" customWidth="1"/>
    <x:col min="11" max="11" width="23" hidden="0" customWidth="1"/>
    <x:col min="12" max="12" width="25" hidden="0" customWidth="1"/>
    <x:col min="13" max="13" width="140" hidden="0" customWidth="1"/>
    <x:col min="14" max="14" width="110" hidden="0" customWidth="1"/>
    <x:col min="15" max="15" width="38" hidden="0" customWidth="1"/>
    <x:col min="16" max="16" width="54" hidden="0" customWidth="1"/>
    <x:col min="17" max="17" width="22" hidden="0" customWidth="1"/>
    <x:col min="18" max="18" width="23" hidden="0" customWidth="1"/>
    <x:col min="19" max="19" width="23" hidden="0" customWidth="1"/>
    <x:col min="20" max="20" width="23" hidden="0" customWidth="1"/>
    <x:col min="21" max="21" width="10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0" customHeight="1">
      <x:c r="A2" s="3" t="str">
        <x:v>战备调用｜固定投入与逐发消耗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3" customHeight="1">
      <x:c r="A3" s="2" t="str">
        <x:v>火力网按母弹实际发数；飞鹰重装与撤离按实际完成/已出航的架次。黄色数量为空时不显示完整总价。运输的燃料、工资和维护在右侧单列。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4" customHeight="1">
      <x:c r="A5" s="35" t="str">
        <x:v>编号</x:v>
      </x:c>
      <x:c r="B5" s="35" t="str">
        <x:v>类别</x:v>
      </x:c>
      <x:c r="C5" s="35" t="str">
        <x:v>中文战备 / 调用项目</x:v>
      </x:c>
      <x:c r="D5" s="35" t="str">
        <x:v>平台费（MC）</x:v>
      </x:c>
      <x:c r="E5" s="35" t="str">
        <x:v>本体投入（MC）</x:v>
      </x:c>
      <x:c r="F5" s="35" t="str">
        <x:v>预付弹药包（MC）</x:v>
      </x:c>
      <x:c r="G5" s="35" t="str">
        <x:v>固定投入标准（MC）</x:v>
      </x:c>
      <x:c r="H5" s="35" t="str">
        <x:v>单发 / 单次价格（MC）</x:v>
      </x:c>
      <x:c r="I5" s="35" t="str">
        <x:v>实际发数 / 次数</x:v>
      </x:c>
      <x:c r="J5" s="35" t="str">
        <x:v>数量费用（MC）</x:v>
      </x:c>
      <x:c r="K5" s="35" t="str">
        <x:v>本次合计（MC）</x:v>
      </x:c>
      <x:c r="L5" s="35" t="str">
        <x:v>弹药账法</x:v>
      </x:c>
      <x:c r="M5" s="35" t="str">
        <x:v>计价说明</x:v>
      </x:c>
      <x:c r="N5" s="42" t="str">
        <x:v>游戏资料链接</x:v>
      </x:c>
      <x:c r="O5" s="42" t="str">
        <x:v>资料状态</x:v>
      </x:c>
      <x:c r="P5" s="42" t="str">
        <x:v>英文原名</x:v>
      </x:c>
      <x:c r="Q5" s="42" t="str">
        <x:v>中文名称依据</x:v>
      </x:c>
      <x:c r="R5" s="61" t="str">
        <x:v>往返燃料费（MC）</x:v>
      </x:c>
      <x:c r="S5" s="61" t="str">
        <x:v>人员工资（MC）</x:v>
      </x:c>
      <x:c r="T5" s="61" t="str">
        <x:v>维护折耗（MC）</x:v>
      </x:c>
      <x:c r="U5" s="61" t="str">
        <x:v>中文背景与定价依据</x:v>
      </x:c>
    </x:row>
    <x:row r="6" ht="72" customHeight="1">
      <x:c r="A6" s="8" t="str">
        <x:v>ST-001</x:v>
      </x:c>
      <x:c r="B6" s="8" t="str">
        <x:v>轨道火力</x:v>
      </x:c>
      <x:c r="C6" s="8" t="str">
        <x:v>轨道精准攻击</x:v>
      </x:c>
      <x:c r="D6" s="12" t="n">
        <x:f>'定价参数'!$D$85</x:f>
        <x:v>45000</x:v>
      </x:c>
      <x:c r="E6" s="16" t="n">
        <x:v>0</x:v>
      </x:c>
      <x:c r="F6" s="11" t="n">
        <x:v>6000</x:v>
      </x:c>
      <x:c r="G6" s="17" t="n">
        <x:f>SUM(D6:F6)</x:f>
        <x:v>51000</x:v>
      </x:c>
      <x:c r="H6" s="51" t="str">
        <x:v>—</x:v>
      </x:c>
      <x:c r="I6" s="48" t="str">
        <x:v>—</x:v>
      </x:c>
      <x:c r="J6" s="51" t="n">
        <x:v>0</x:v>
      </x:c>
      <x:c r="K6" s="52" t="n">
        <x:f>G6</x:f>
        <x:v>51000</x:v>
      </x:c>
      <x:c r="L6" s="8" t="str">
        <x:v>整次包干</x:v>
      </x:c>
      <x:c r="M6" s="8" t="str">
        <x:v>精确炮击；不同舰船升级采用同一单次军需标准，装药不逐发重复记账。</x:v>
      </x:c>
      <x:c r="N6" t="str">
        <x:v>https://helldivers.wiki.gg/wiki/Orbital_Precision_Strike</x:v>
      </x:c>
      <x:c r="O6" t="str">
        <x:v>Wiki原文核对；MOD标准价，事件检测待实测</x:v>
      </x:c>
      <x:c r="P6" t="str">
        <x:v>Orbital Precision Strike</x:v>
      </x:c>
      <x:c r="Q6" t="str">
        <x:v>中文Wiki用名</x:v>
      </x:c>
      <x:c r="R6" s="66" t="str">
        <x:v>—</x:v>
      </x:c>
      <x:c r="S6" s="66" t="str">
        <x:v>—</x:v>
      </x:c>
      <x:c r="T6" s="66" t="str">
        <x:v>—</x:v>
      </x:c>
      <x:c r="U6" s="67" t="str">
        <x:v>ATLAS舰炮发射单枚精确重炮弹。 单枚精确重型舰炮弹对齐380mm高爆弹档，避免比同级炮弹廉价一半。</x:v>
      </x:c>
    </x:row>
    <x:row r="7" ht="72" customHeight="1">
      <x:c r="A7" s="2" t="str">
        <x:v>ST-002</x:v>
      </x:c>
      <x:c r="B7" s="2" t="str">
        <x:v>轨道火力</x:v>
      </x:c>
      <x:c r="C7" s="2" t="str">
        <x:v>轨道加特林火力网</x:v>
      </x:c>
      <x:c r="D7" s="13" t="n">
        <x:f>'定价参数'!$D$85</x:f>
        <x:v>45000</x:v>
      </x:c>
      <x:c r="E7" s="16" t="n">
        <x:v>0</x:v>
      </x:c>
      <x:c r="F7" s="45" t="n">
        <x:v>0</x:v>
      </x:c>
      <x:c r="G7" s="18" t="n">
        <x:f>SUM(D7:F7)</x:f>
        <x:v>45000</x:v>
      </x:c>
      <x:c r="H7" s="15" t="n">
        <x:f>'定价参数'!$D$111</x:f>
        <x:v>30</x:v>
      </x:c>
      <x:c r="I7" s="49"/>
      <x:c r="J7" s="15" t="str">
        <x:f>IF(ISBLANK(I7),"待录入发数",IF(ISNUMBER(I7),IF(OR(I7&lt;0,MOD(I7,1)&lt;&gt;0),"检查发数",ROUND(H7*I7,2)),"检查发数"))</x:f>
        <x:v>待录入发数</x:v>
      </x:c>
      <x:c r="K7" s="18" t="str">
        <x:f>IF(ISNUMBER(J7),IF(I7=0,0,SUM(G7,J7)),J7)</x:f>
        <x:v>待录入发数</x:v>
      </x:c>
      <x:c r="L7" s="2" t="str">
        <x:v>逐发计费</x:v>
      </x:c>
      <x:c r="M7" s="2" t="str">
        <x:v>成功开始炮击收一次平台费，预付弹药包为0。每枚实际发射母弹计一次，即使命中空地。齐射数、炮管数、子弹药和爆炸次数不另加。发数按调用者飞船模块与当次实际发射记录；0发表示未开始炮击，合计为0。</x:v>
      </x:c>
      <x:c r="N7" t="str">
        <x:v>https://helldivers.wiki.gg/wiki/Orbital_Gatling_Barrage</x:v>
      </x:c>
      <x:c r="O7" t="str">
        <x:v>Wiki原文核对；MOD标准价，事件检测待实测</x:v>
      </x:c>
      <x:c r="P7" t="str">
        <x:v>Orbital Gatling Barrage</x:v>
      </x:c>
      <x:c r="Q7" t="str">
        <x:v>中文Wiki用名</x:v>
      </x:c>
      <x:c r="R7" s="65" t="str">
        <x:v>—</x:v>
      </x:c>
      <x:c r="S7" s="65" t="str">
        <x:v>—</x:v>
      </x:c>
      <x:c r="T7" s="65" t="str">
        <x:v>—</x:v>
      </x:c>
      <x:c r="U7" s="64" t="str">
        <x:v>舰载高速转管机炮发射23mm高爆炮弹。 已核对武器与载荷类型；保持平台/弹药分项。</x:v>
      </x:c>
    </x:row>
    <x:row r="8" ht="72" customHeight="1">
      <x:c r="A8" s="8" t="str">
        <x:v>ST-003</x:v>
      </x:c>
      <x:c r="B8" s="8" t="str">
        <x:v>轨道火力</x:v>
      </x:c>
      <x:c r="C8" s="8" t="str">
        <x:v>轨道毒气攻击</x:v>
      </x:c>
      <x:c r="D8" s="12" t="n">
        <x:f>'定价参数'!$D$85</x:f>
        <x:v>45000</x:v>
      </x:c>
      <x:c r="E8" s="16" t="n">
        <x:v>0</x:v>
      </x:c>
      <x:c r="F8" s="11" t="n">
        <x:v>6000</x:v>
      </x:c>
      <x:c r="G8" s="17" t="n">
        <x:f>SUM(D8:F8)</x:f>
        <x:v>51000</x:v>
      </x:c>
      <x:c r="H8" s="51" t="str">
        <x:v>—</x:v>
      </x:c>
      <x:c r="I8" s="48" t="str">
        <x:v>—</x:v>
      </x:c>
      <x:c r="J8" s="51" t="n">
        <x:v>0</x:v>
      </x:c>
      <x:c r="K8" s="52" t="n">
        <x:f>G8</x:f>
        <x:v>51000</x:v>
      </x:c>
      <x:c r="L8" s="8" t="str">
        <x:v>整次包干</x:v>
      </x:c>
      <x:c r="M8" s="8" t="str">
        <x:v>化学炮弹包；不同舰船升级采用同一单次军需标准，装药不逐发重复记账。</x:v>
      </x:c>
      <x:c r="N8" t="str">
        <x:v>https://helldivers.wiki.gg/wiki/Orbital_Gas_Strike</x:v>
      </x:c>
      <x:c r="O8" t="str">
        <x:v>Wiki原文核对；MOD标准价，事件检测待实测</x:v>
      </x:c>
      <x:c r="P8" t="str">
        <x:v>Orbital Gas Strike</x:v>
      </x:c>
      <x:c r="Q8" t="str">
        <x:v>中文Wiki用名</x:v>
      </x:c>
      <x:c r="R8" s="66" t="str">
        <x:v>—</x:v>
      </x:c>
      <x:c r="S8" s="66" t="str">
        <x:v>—</x:v>
      </x:c>
      <x:c r="T8" s="66" t="str">
        <x:v>—</x:v>
      </x:c>
      <x:c r="U8" s="67" t="str">
        <x:v>舰炮弹释放可腐蚀有机及机械目标的气体。 腐蚀药剂弹及封装高于普通烟幕载荷。</x:v>
      </x:c>
    </x:row>
    <x:row r="9" ht="72" customHeight="1">
      <x:c r="A9" s="2" t="str">
        <x:v>ST-004</x:v>
      </x:c>
      <x:c r="B9" s="2" t="str">
        <x:v>轨道火力</x:v>
      </x:c>
      <x:c r="C9" s="2" t="str">
        <x:v>轨道120mm高爆弹火力网</x:v>
      </x:c>
      <x:c r="D9" s="13" t="n">
        <x:f>'定价参数'!$D$85</x:f>
        <x:v>45000</x:v>
      </x:c>
      <x:c r="E9" s="16" t="n">
        <x:v>0</x:v>
      </x:c>
      <x:c r="F9" s="45" t="n">
        <x:v>0</x:v>
      </x:c>
      <x:c r="G9" s="18" t="n">
        <x:f>SUM(D9:F9)</x:f>
        <x:v>45000</x:v>
      </x:c>
      <x:c r="H9" s="15" t="n">
        <x:f>'定价参数'!$D$112</x:f>
        <x:v>1200</x:v>
      </x:c>
      <x:c r="I9" s="49"/>
      <x:c r="J9" s="15" t="str">
        <x:f>IF(ISBLANK(I9),"待录入发数",IF(ISNUMBER(I9),IF(OR(I9&lt;0,MOD(I9,1)&lt;&gt;0),"检查发数",ROUND(H9*I9,2)),"检查发数"))</x:f>
        <x:v>待录入发数</x:v>
      </x:c>
      <x:c r="K9" s="18" t="str">
        <x:f>IF(ISNUMBER(J9),IF(I9=0,0,SUM(G9,J9)),J9)</x:f>
        <x:v>待录入发数</x:v>
      </x:c>
      <x:c r="L9" s="2" t="str">
        <x:v>逐发计费</x:v>
      </x:c>
      <x:c r="M9" s="2" t="str">
        <x:v>成功开始炮击收一次平台费，预付弹药包为0。每枚实际发射母弹计一次，即使命中空地。齐射数、炮管数、子弹药和爆炸次数不另加。发数按调用者飞船模块与当次实际发射记录；0发表示未开始炮击，合计为0。</x:v>
      </x:c>
      <x:c r="N9" t="str">
        <x:v>https://helldivers.wiki.gg/wiki/Orbital_120mm_HE_Barrage</x:v>
      </x:c>
      <x:c r="O9" t="str">
        <x:v>Wiki原文核对；MOD标准价，事件检测待实测</x:v>
      </x:c>
      <x:c r="P9" t="str">
        <x:v>Orbital 120mm HE Barrage</x:v>
      </x:c>
      <x:c r="Q9" t="str">
        <x:v>中文Wiki用名</x:v>
      </x:c>
      <x:c r="R9" s="65" t="str">
        <x:v>—</x:v>
      </x:c>
      <x:c r="S9" s="65" t="str">
        <x:v>—</x:v>
      </x:c>
      <x:c r="T9" s="65" t="str">
        <x:v>—</x:v>
      </x:c>
      <x:c r="U9" s="64" t="str">
        <x:v>小区域精确高爆炮击，弹数受飞船模块影响。 已核对武器与载荷类型；保持平台/弹药分项。</x:v>
      </x:c>
    </x:row>
    <x:row r="10" ht="72" customHeight="1">
      <x:c r="A10" s="8" t="str">
        <x:v>ST-005</x:v>
      </x:c>
      <x:c r="B10" s="8" t="str">
        <x:v>轨道火力</x:v>
      </x:c>
      <x:c r="C10" s="8" t="str">
        <x:v>轨道空爆攻击</x:v>
      </x:c>
      <x:c r="D10" s="12" t="n">
        <x:f>'定价参数'!$D$85</x:f>
        <x:v>45000</x:v>
      </x:c>
      <x:c r="E10" s="16" t="n">
        <x:v>0</x:v>
      </x:c>
      <x:c r="F10" s="47" t="n">
        <x:v>0</x:v>
      </x:c>
      <x:c r="G10" s="17" t="n">
        <x:f>SUM(D10:F10)</x:f>
        <x:v>45000</x:v>
      </x:c>
      <x:c r="H10" s="51" t="n">
        <x:f>'定价参数'!$D$115</x:f>
        <x:v>4000</x:v>
      </x:c>
      <x:c r="I10" s="49"/>
      <x:c r="J10" s="51" t="str">
        <x:f>IF(ISBLANK(I10),"待录入发数",IF(ISNUMBER(I10),IF(OR(I10&lt;0,MOD(I10,1)&lt;&gt;0),"检查发数",ROUND(H10*I10,2)),"检查发数"))</x:f>
        <x:v>待录入发数</x:v>
      </x:c>
      <x:c r="K10" s="52" t="str">
        <x:f>IF(ISNUMBER(J10),IF(I10=0,0,SUM(G10,J10)),J10)</x:f>
        <x:v>待录入发数</x:v>
      </x:c>
      <x:c r="L10" s="8" t="str">
        <x:v>逐发计费</x:v>
      </x:c>
      <x:c r="M10" s="8" t="str">
        <x:v>成功开始炮击收一次平台费，预付弹药包为0。每枚实际发射母弹计一次，即使命中空地。齐射数、炮管数、子弹药和爆炸次数不另加。发数按调用者飞船模块与当次实际发射记录；0发表示未开始炮击，合计为0。</x:v>
      </x:c>
      <x:c r="N10" t="str">
        <x:v>https://helldivers.wiki.gg/wiki/Orbital_Airburst_Strike</x:v>
      </x:c>
      <x:c r="O10" t="str">
        <x:v>Wiki原文核对；MOD标准价，事件检测待实测</x:v>
      </x:c>
      <x:c r="P10" t="str">
        <x:v>Orbital Airburst Strike</x:v>
      </x:c>
      <x:c r="Q10" t="str">
        <x:v>参考译名</x:v>
      </x:c>
      <x:c r="R10" s="66" t="str">
        <x:v>—</x:v>
      </x:c>
      <x:c r="S10" s="66" t="str">
        <x:v>—</x:v>
      </x:c>
      <x:c r="T10" s="66" t="str">
        <x:v>—</x:v>
      </x:c>
      <x:c r="U10" s="67" t="str">
        <x:v>母弹在空中炸开，散布杀伤破片，非重型反装甲弹。 已核对武器与载荷类型；保持平台/弹药分项。</x:v>
      </x:c>
    </x:row>
    <x:row r="11" ht="72" customHeight="1">
      <x:c r="A11" s="2" t="str">
        <x:v>ST-006</x:v>
      </x:c>
      <x:c r="B11" s="2" t="str">
        <x:v>轨道火力</x:v>
      </x:c>
      <x:c r="C11" s="2" t="str">
        <x:v>轨道烟雾攻击</x:v>
      </x:c>
      <x:c r="D11" s="13" t="n">
        <x:f>'定价参数'!$D$85</x:f>
        <x:v>45000</x:v>
      </x:c>
      <x:c r="E11" s="16" t="n">
        <x:v>0</x:v>
      </x:c>
      <x:c r="F11" s="11" t="n">
        <x:v>3000</x:v>
      </x:c>
      <x:c r="G11" s="18" t="n">
        <x:f>SUM(D11:F11)</x:f>
        <x:v>48000</x:v>
      </x:c>
      <x:c r="H11" s="15" t="str">
        <x:v>—</x:v>
      </x:c>
      <x:c r="I11" s="50" t="str">
        <x:v>—</x:v>
      </x:c>
      <x:c r="J11" s="15" t="n">
        <x:v>0</x:v>
      </x:c>
      <x:c r="K11" s="18" t="n">
        <x:f>G11</x:f>
        <x:v>48000</x:v>
      </x:c>
      <x:c r="L11" s="2" t="str">
        <x:v>整次包干</x:v>
      </x:c>
      <x:c r="M11" s="2" t="str">
        <x:v>烟幕炮弹包；不同舰船升级采用同一单次军需标准，装药不逐发重复记账。</x:v>
      </x:c>
      <x:c r="N11" t="str">
        <x:v>https://helldivers.wiki.gg/wiki/Orbital_Smoke_Strike</x:v>
      </x:c>
      <x:c r="O11" t="str">
        <x:v>Wiki原文核对；MOD标准价，事件检测待实测</x:v>
      </x:c>
      <x:c r="P11" t="str">
        <x:v>Orbital Smoke Strike</x:v>
      </x:c>
      <x:c r="Q11" t="str">
        <x:v>中文Wiki用名</x:v>
      </x:c>
      <x:c r="R11" s="65" t="str">
        <x:v>—</x:v>
      </x:c>
      <x:c r="S11" s="65" t="str">
        <x:v>—</x:v>
      </x:c>
      <x:c r="T11" s="65" t="str">
        <x:v>—</x:v>
      </x:c>
      <x:c r="U11" s="64" t="str">
        <x:v>弹体形成大范围浓烟屏障。 已核对武器与载荷类型；保持平台/弹药分项。</x:v>
      </x:c>
    </x:row>
    <x:row r="12" ht="72" customHeight="1">
      <x:c r="A12" s="8" t="str">
        <x:v>ST-007</x:v>
      </x:c>
      <x:c r="B12" s="8" t="str">
        <x:v>轨道火力</x:v>
      </x:c>
      <x:c r="C12" s="8" t="str">
        <x:v>轨道电磁冲击波攻击</x:v>
      </x:c>
      <x:c r="D12" s="12" t="n">
        <x:f>'定价参数'!$D$85</x:f>
        <x:v>45000</x:v>
      </x:c>
      <x:c r="E12" s="16" t="n">
        <x:v>0</x:v>
      </x:c>
      <x:c r="F12" s="11" t="n">
        <x:v>10000</x:v>
      </x:c>
      <x:c r="G12" s="17" t="n">
        <x:f>SUM(D12:F12)</x:f>
        <x:v>55000</x:v>
      </x:c>
      <x:c r="H12" s="51" t="str">
        <x:v>—</x:v>
      </x:c>
      <x:c r="I12" s="48" t="str">
        <x:v>—</x:v>
      </x:c>
      <x:c r="J12" s="51" t="n">
        <x:v>0</x:v>
      </x:c>
      <x:c r="K12" s="52" t="n">
        <x:f>G12</x:f>
        <x:v>55000</x:v>
      </x:c>
      <x:c r="L12" s="8" t="str">
        <x:v>整次包干</x:v>
      </x:c>
      <x:c r="M12" s="8" t="str">
        <x:v>电磁炮弹包；不同舰船升级采用同一单次军需标准，装药不逐发重复记账。</x:v>
      </x:c>
      <x:c r="N12" t="str">
        <x:v>https://helldivers.wiki.gg/wiki/Orbital_EMS_Strike</x:v>
      </x:c>
      <x:c r="O12" t="str">
        <x:v>Wiki原文核对；MOD标准价，事件检测待实测</x:v>
      </x:c>
      <x:c r="P12" t="str">
        <x:v>Orbital EMS Strike</x:v>
      </x:c>
      <x:c r="Q12" t="str">
        <x:v>参考译名</x:v>
      </x:c>
      <x:c r="R12" s="66" t="str">
        <x:v>—</x:v>
      </x:c>
      <x:c r="S12" s="66" t="str">
        <x:v>—</x:v>
      </x:c>
      <x:c r="T12" s="66" t="str">
        <x:v>—</x:v>
      </x:c>
      <x:c r="U12" s="67" t="str">
        <x:v>投送可使目标停止行动的电磁场弹体。 一次性电磁场发生载荷高于普通化学烟幕弹。</x:v>
      </x:c>
    </x:row>
    <x:row r="13" ht="72" customHeight="1">
      <x:c r="A13" s="2" t="str">
        <x:v>ST-008</x:v>
      </x:c>
      <x:c r="B13" s="2" t="str">
        <x:v>轨道火力</x:v>
      </x:c>
      <x:c r="C13" s="2" t="str">
        <x:v>轨道380mm高爆弹火力网</x:v>
      </x:c>
      <x:c r="D13" s="13" t="n">
        <x:f>'定价参数'!$D$85</x:f>
        <x:v>45000</x:v>
      </x:c>
      <x:c r="E13" s="16" t="n">
        <x:v>0</x:v>
      </x:c>
      <x:c r="F13" s="45" t="n">
        <x:v>0</x:v>
      </x:c>
      <x:c r="G13" s="18" t="n">
        <x:f>SUM(D13:F13)</x:f>
        <x:v>45000</x:v>
      </x:c>
      <x:c r="H13" s="15" t="n">
        <x:f>'定价参数'!$D$113</x:f>
        <x:v>6000</x:v>
      </x:c>
      <x:c r="I13" s="49"/>
      <x:c r="J13" s="15" t="str">
        <x:f>IF(ISBLANK(I13),"待录入发数",IF(ISNUMBER(I13),IF(OR(I13&lt;0,MOD(I13,1)&lt;&gt;0),"检查发数",ROUND(H13*I13,2)),"检查发数"))</x:f>
        <x:v>待录入发数</x:v>
      </x:c>
      <x:c r="K13" s="18" t="str">
        <x:f>IF(ISNUMBER(J13),IF(I13=0,0,SUM(G13,J13)),J13)</x:f>
        <x:v>待录入发数</x:v>
      </x:c>
      <x:c r="L13" s="2" t="str">
        <x:v>逐发计费</x:v>
      </x:c>
      <x:c r="M13" s="2" t="str">
        <x:v>成功开始炮击收一次平台费，预付弹药包为0。每枚实际发射母弹计一次，即使命中空地。齐射数、炮管数、子弹药和爆炸次数不另加。发数按调用者飞船模块与当次实际发射记录；0发表示未开始炮击，合计为0。</x:v>
      </x:c>
      <x:c r="N13" t="str">
        <x:v>https://helldivers.wiki.gg/wiki/Orbital_380mm_HE_Barrage</x:v>
      </x:c>
      <x:c r="O13" t="str">
        <x:v>Wiki原文核对；MOD标准价，事件检测待实测</x:v>
      </x:c>
      <x:c r="P13" t="str">
        <x:v>Orbital 380mm HE Barrage</x:v>
      </x:c>
      <x:c r="Q13" t="str">
        <x:v>中文Wiki用名</x:v>
      </x:c>
      <x:c r="R13" s="65" t="str">
        <x:v>—</x:v>
      </x:c>
      <x:c r="S13" s="65" t="str">
        <x:v>—</x:v>
      </x:c>
      <x:c r="T13" s="65" t="str">
        <x:v>—</x:v>
      </x:c>
      <x:c r="U13" s="64" t="str">
        <x:v>大范围持续重型高爆炮击。 已核对武器与载荷类型；保持平台/弹药分项。</x:v>
      </x:c>
    </x:row>
    <x:row r="14" ht="72" customHeight="1">
      <x:c r="A14" s="8" t="str">
        <x:v>ST-009</x:v>
      </x:c>
      <x:c r="B14" s="8" t="str">
        <x:v>轨道火力</x:v>
      </x:c>
      <x:c r="C14" s="8" t="str">
        <x:v>轨道游走火力网</x:v>
      </x:c>
      <x:c r="D14" s="12" t="n">
        <x:f>'定价参数'!$D$85</x:f>
        <x:v>45000</x:v>
      </x:c>
      <x:c r="E14" s="16" t="n">
        <x:v>0</x:v>
      </x:c>
      <x:c r="F14" s="47" t="n">
        <x:v>0</x:v>
      </x:c>
      <x:c r="G14" s="17" t="n">
        <x:f>SUM(D14:F14)</x:f>
        <x:v>45000</x:v>
      </x:c>
      <x:c r="H14" s="51" t="n">
        <x:f>'定价参数'!$D$113</x:f>
        <x:v>6000</x:v>
      </x:c>
      <x:c r="I14" s="49"/>
      <x:c r="J14" s="51" t="str">
        <x:f>IF(ISBLANK(I14),"待录入发数",IF(ISNUMBER(I14),IF(OR(I14&lt;0,MOD(I14,1)&lt;&gt;0),"检查发数",ROUND(H14*I14,2)),"检查发数"))</x:f>
        <x:v>待录入发数</x:v>
      </x:c>
      <x:c r="K14" s="52" t="str">
        <x:f>IF(ISNUMBER(J14),IF(I14=0,0,SUM(G14,J14)),J14)</x:f>
        <x:v>待录入发数</x:v>
      </x:c>
      <x:c r="L14" s="8" t="str">
        <x:v>逐发计费</x:v>
      </x:c>
      <x:c r="M14" s="8" t="str">
        <x:v>成功开始炮击收一次平台费，预付弹药包为0。每枚实际发射母弹计一次，即使命中空地。齐射数、炮管数、子弹药和爆炸次数不另加。发数按调用者飞船模块与当次实际发射记录；0发表示未开始炮击，合计为0。</x:v>
      </x:c>
      <x:c r="N14" t="str">
        <x:v>https://helldivers.wiki.gg/wiki/Orbital_Walking_Barrage</x:v>
      </x:c>
      <x:c r="O14" t="str">
        <x:v>Wiki原文核对；MOD标准价，事件检测待实测</x:v>
      </x:c>
      <x:c r="P14" t="str">
        <x:v>Orbital Walking Barrage</x:v>
      </x:c>
      <x:c r="Q14" t="str">
        <x:v>中文Wiki用名</x:v>
      </x:c>
      <x:c r="R14" s="66" t="str">
        <x:v>—</x:v>
      </x:c>
      <x:c r="S14" s="66" t="str">
        <x:v>—</x:v>
      </x:c>
      <x:c r="T14" s="66" t="str">
        <x:v>—</x:v>
      </x:c>
      <x:c r="U14" s="67" t="str">
        <x:v>逐步向前移动的高爆炮击。 已核对武器与载荷类型；保持平台/弹药分项。</x:v>
      </x:c>
    </x:row>
    <x:row r="15" ht="72" customHeight="1">
      <x:c r="A15" s="2" t="str">
        <x:v>ST-010</x:v>
      </x:c>
      <x:c r="B15" s="2" t="str">
        <x:v>轨道火力</x:v>
      </x:c>
      <x:c r="C15" s="2" t="str">
        <x:v>轨道激光炮</x:v>
      </x:c>
      <x:c r="D15" s="13" t="n">
        <x:f>'定价参数'!$D$85</x:f>
        <x:v>45000</x:v>
      </x:c>
      <x:c r="E15" s="16" t="n">
        <x:v>0</x:v>
      </x:c>
      <x:c r="F15" s="11" t="n">
        <x:v>26000</x:v>
      </x:c>
      <x:c r="G15" s="18" t="n">
        <x:f>SUM(D15:F15)</x:f>
        <x:v>71000</x:v>
      </x:c>
      <x:c r="H15" s="15" t="str">
        <x:v>—</x:v>
      </x:c>
      <x:c r="I15" s="50" t="str">
        <x:v>—</x:v>
      </x:c>
      <x:c r="J15" s="15" t="n">
        <x:v>0</x:v>
      </x:c>
      <x:c r="K15" s="18" t="n">
        <x:f>G15</x:f>
        <x:v>71000</x:v>
      </x:c>
      <x:c r="L15" s="2" t="str">
        <x:v>整次包干</x:v>
      </x:c>
      <x:c r="M15" s="2" t="str">
        <x:v>能源、光学系统磨损与高功率占用；不同舰船升级采用同一单次军需标准，装药不逐发重复记账。</x:v>
      </x:c>
      <x:c r="N15" t="str">
        <x:v>https://helldivers.wiki.gg/wiki/Orbital_Laser</x:v>
      </x:c>
      <x:c r="O15" t="str">
        <x:v>Wiki原文核对；MOD标准价，事件检测待实测</x:v>
      </x:c>
      <x:c r="P15" t="str">
        <x:v>Orbital Laser</x:v>
      </x:c>
      <x:c r="Q15" t="str">
        <x:v>中文Wiki用名</x:v>
      </x:c>
      <x:c r="R15" s="65" t="str">
        <x:v>—</x:v>
      </x:c>
      <x:c r="S15" s="65" t="str">
        <x:v>—</x:v>
      </x:c>
      <x:c r="T15" s="65" t="str">
        <x:v>—</x:v>
      </x:c>
      <x:c r="U15" s="64" t="str">
        <x:v>舰载激光扫过区域；按当次平台、供能及热管理包计费。 已核对武器与载荷类型；保持平台/弹药分项。</x:v>
      </x:c>
    </x:row>
    <x:row r="16" ht="72" customHeight="1">
      <x:c r="A16" s="8" t="str">
        <x:v>ST-011</x:v>
      </x:c>
      <x:c r="B16" s="8" t="str">
        <x:v>轨道火力</x:v>
      </x:c>
      <x:c r="C16" s="8" t="str">
        <x:v>轨道凝固汽油弹火力网</x:v>
      </x:c>
      <x:c r="D16" s="12" t="n">
        <x:f>'定价参数'!$D$85</x:f>
        <x:v>45000</x:v>
      </x:c>
      <x:c r="E16" s="16" t="n">
        <x:v>0</x:v>
      </x:c>
      <x:c r="F16" s="47" t="n">
        <x:v>0</x:v>
      </x:c>
      <x:c r="G16" s="17" t="n">
        <x:f>SUM(D16:F16)</x:f>
        <x:v>45000</x:v>
      </x:c>
      <x:c r="H16" s="51" t="n">
        <x:f>'定价参数'!$D$114</x:f>
        <x:v>2000</x:v>
      </x:c>
      <x:c r="I16" s="49"/>
      <x:c r="J16" s="51" t="str">
        <x:f>IF(ISBLANK(I16),"待录入发数",IF(ISNUMBER(I16),IF(OR(I16&lt;0,MOD(I16,1)&lt;&gt;0),"检查发数",ROUND(H16*I16,2)),"检查发数"))</x:f>
        <x:v>待录入发数</x:v>
      </x:c>
      <x:c r="K16" s="52" t="str">
        <x:f>IF(ISNUMBER(J16),IF(I16=0,0,SUM(G16,J16)),J16)</x:f>
        <x:v>待录入发数</x:v>
      </x:c>
      <x:c r="L16" s="8" t="str">
        <x:v>逐发计费</x:v>
      </x:c>
      <x:c r="M16" s="8" t="str">
        <x:v>成功开始炮击收一次平台费，预付弹药包为0。每枚实际发射母弹计一次，即使命中空地。齐射数、炮管数、子弹药和爆炸次数不另加。发数按调用者飞船模块与当次实际发射记录；0发表示未开始炮击，合计为0。</x:v>
      </x:c>
      <x:c r="N16" t="str">
        <x:v>https://helldivers.wiki.gg/wiki/Orbital_Napalm_Barrage</x:v>
      </x:c>
      <x:c r="O16" t="str">
        <x:v>Wiki原文核对；MOD标准价，事件检测待实测</x:v>
      </x:c>
      <x:c r="P16" t="str">
        <x:v>Orbital Napalm Barrage</x:v>
      </x:c>
      <x:c r="Q16" t="str">
        <x:v>中文Wiki用名</x:v>
      </x:c>
      <x:c r="R16" s="66" t="str">
        <x:v>—</x:v>
      </x:c>
      <x:c r="S16" s="66" t="str">
        <x:v>—</x:v>
      </x:c>
      <x:c r="T16" s="66" t="str">
        <x:v>—</x:v>
      </x:c>
      <x:c r="U16" s="67" t="str">
        <x:v>大量120mm燃烧弹持续覆盖，母弹落地产生燃烧区。 已核对武器与载荷类型；保持平台/弹药分项。</x:v>
      </x:c>
    </x:row>
    <x:row r="17" ht="72" customHeight="1">
      <x:c r="A17" s="2" t="str">
        <x:v>ST-012</x:v>
      </x:c>
      <x:c r="B17" s="2" t="str">
        <x:v>轨道火力</x:v>
      </x:c>
      <x:c r="C17" s="2" t="str">
        <x:v>轨道炮攻击</x:v>
      </x:c>
      <x:c r="D17" s="13" t="n">
        <x:f>'定价参数'!$D$85</x:f>
        <x:v>45000</x:v>
      </x:c>
      <x:c r="E17" s="16" t="n">
        <x:v>0</x:v>
      </x:c>
      <x:c r="F17" s="11" t="n">
        <x:v>25000</x:v>
      </x:c>
      <x:c r="G17" s="18" t="n">
        <x:f>SUM(D17:F17)</x:f>
        <x:v>70000</x:v>
      </x:c>
      <x:c r="H17" s="15" t="str">
        <x:v>—</x:v>
      </x:c>
      <x:c r="I17" s="50" t="str">
        <x:v>—</x:v>
      </x:c>
      <x:c r="J17" s="15" t="n">
        <x:v>0</x:v>
      </x:c>
      <x:c r="K17" s="18" t="n">
        <x:f>G17</x:f>
        <x:v>70000</x:v>
      </x:c>
      <x:c r="L17" s="2" t="str">
        <x:v>整次包干</x:v>
      </x:c>
      <x:c r="M17" s="2" t="str">
        <x:v>轨道弹、充能及磨损；不同舰船升级采用同一单次军需标准，装药不逐发重复记账。</x:v>
      </x:c>
      <x:c r="N17" t="str">
        <x:v>https://helldivers.wiki.gg/wiki/Orbital_Railcannon_Strike</x:v>
      </x:c>
      <x:c r="O17" t="str">
        <x:v>Wiki原文核对；MOD标准价，事件检测待实测</x:v>
      </x:c>
      <x:c r="P17" t="str">
        <x:v>Orbital Railcannon Strike</x:v>
      </x:c>
      <x:c r="Q17" t="str">
        <x:v>中文Wiki用名</x:v>
      </x:c>
      <x:c r="R17" s="65" t="str">
        <x:v>—</x:v>
      </x:c>
      <x:c r="S17" s="65" t="str">
        <x:v>—</x:v>
      </x:c>
      <x:c r="T17" s="65" t="str">
        <x:v>—</x:v>
      </x:c>
      <x:c r="U17" s="64" t="str">
        <x:v>自动锁定附近大型目标并发射高速电磁炮弹。 已核对武器与载荷类型；保持平台/弹药分项。</x:v>
      </x:c>
    </x:row>
    <x:row r="18" ht="72" customHeight="1">
      <x:c r="A18" s="8" t="str">
        <x:v>ST-013</x:v>
      </x:c>
      <x:c r="B18" s="8" t="str">
        <x:v>飞鹰</x:v>
      </x:c>
      <x:c r="C18" s="8" t="str">
        <x:v>飞鹰毒气空袭</x:v>
      </x:c>
      <x:c r="D18" s="12" t="n">
        <x:f>'定价参数'!$D$84</x:f>
        <x:v>45000</x:v>
      </x:c>
      <x:c r="E18" s="16" t="n">
        <x:v>0</x:v>
      </x:c>
      <x:c r="F18" s="11" t="n">
        <x:v>12000</x:v>
      </x:c>
      <x:c r="G18" s="17" t="n">
        <x:f>SUM(D18:F18)</x:f>
        <x:v>57000</x:v>
      </x:c>
      <x:c r="H18" s="51" t="str">
        <x:v>—</x:v>
      </x:c>
      <x:c r="I18" s="48" t="str">
        <x:v>—</x:v>
      </x:c>
      <x:c r="J18" s="51" t="n">
        <x:v>0</x:v>
      </x:c>
      <x:c r="K18" s="52" t="n">
        <x:f>G18</x:f>
        <x:v>57000</x:v>
      </x:c>
      <x:c r="L18" s="8" t="str">
        <x:v>整次包干</x:v>
      </x:c>
      <x:c r="M18" s="8" t="str">
        <x:v>成功空袭收攻击段平台费和实际使用的标准载荷包。返舰重装燃料、地勤、维护在ST-100另记；弹药只在消耗时计，本次重新装填不再次收整套航弹价。</x:v>
      </x:c>
      <x:c r="N18" t="str">
        <x:v>https://helldivers.wiki.gg/wiki/Eagle_Gas_Airstrike</x:v>
      </x:c>
      <x:c r="O18" t="str">
        <x:v>Wiki原文核对；MOD标准价，事件检测待实测</x:v>
      </x:c>
      <x:c r="P18" t="str">
        <x:v>Eagle Gas Airstrike</x:v>
      </x:c>
      <x:c r="Q18" t="str">
        <x:v>中文Wiki用名</x:v>
      </x:c>
      <x:c r="R18" s="66" t="str">
        <x:v>—</x:v>
      </x:c>
      <x:c r="S18" s="66" t="str">
        <x:v>—</x:v>
      </x:c>
      <x:c r="T18" s="66" t="str">
        <x:v>—</x:v>
      </x:c>
      <x:c r="U18" s="67" t="str">
        <x:v>飞鹰投放腐蚀气体载荷。 已核对武器与载荷类型；保持平台/弹药分项。</x:v>
      </x:c>
    </x:row>
    <x:row r="19" ht="72" customHeight="1">
      <x:c r="A19" s="2" t="str">
        <x:v>ST-014</x:v>
      </x:c>
      <x:c r="B19" s="2" t="str">
        <x:v>飞鹰</x:v>
      </x:c>
      <x:c r="C19" s="2" t="str">
        <x:v>飞鹰机枪扫射</x:v>
      </x:c>
      <x:c r="D19" s="13" t="n">
        <x:f>'定价参数'!$D$84</x:f>
        <x:v>45000</x:v>
      </x:c>
      <x:c r="E19" s="16" t="n">
        <x:v>0</x:v>
      </x:c>
      <x:c r="F19" s="11" t="n">
        <x:v>6000</x:v>
      </x:c>
      <x:c r="G19" s="18" t="n">
        <x:f>SUM(D19:F19)</x:f>
        <x:v>51000</x:v>
      </x:c>
      <x:c r="H19" s="15" t="str">
        <x:v>—</x:v>
      </x:c>
      <x:c r="I19" s="50" t="str">
        <x:v>—</x:v>
      </x:c>
      <x:c r="J19" s="15" t="n">
        <x:v>0</x:v>
      </x:c>
      <x:c r="K19" s="18" t="n">
        <x:f>G19</x:f>
        <x:v>51000</x:v>
      </x:c>
      <x:c r="L19" s="2" t="str">
        <x:v>整次包干</x:v>
      </x:c>
      <x:c r="M19" s="2" t="str">
        <x:v>成功空袭收攻击段平台费和实际使用的标准载荷包。返舰重装燃料、地勤、维护在ST-100另记；弹药只在消耗时计，本次重新装填不再次收整套航弹价。</x:v>
      </x:c>
      <x:c r="N19" t="str">
        <x:v>https://helldivers.wiki.gg/wiki/Eagle_Strafing_Run</x:v>
      </x:c>
      <x:c r="O19" t="str">
        <x:v>Wiki原文核对；MOD标准价，事件检测待实测</x:v>
      </x:c>
      <x:c r="P19" t="str">
        <x:v>Eagle Strafing Run</x:v>
      </x:c>
      <x:c r="Q19" t="str">
        <x:v>中文Wiki用名</x:v>
      </x:c>
      <x:c r="R19" s="65" t="str">
        <x:v>—</x:v>
      </x:c>
      <x:c r="S19" s="65" t="str">
        <x:v>—</x:v>
      </x:c>
      <x:c r="T19" s="65" t="str">
        <x:v>—</x:v>
      </x:c>
      <x:c r="U19" s="64" t="str">
        <x:v>飛鹰机炮沿直线扫射，使用高爆反装甲炮弹。 已核对武器与载荷类型；保持平台/弹药分项。</x:v>
      </x:c>
    </x:row>
    <x:row r="20" ht="72" customHeight="1">
      <x:c r="A20" s="8" t="str">
        <x:v>ST-015</x:v>
      </x:c>
      <x:c r="B20" s="8" t="str">
        <x:v>飞鹰</x:v>
      </x:c>
      <x:c r="C20" s="8" t="str">
        <x:v>飞鹰空袭</x:v>
      </x:c>
      <x:c r="D20" s="12" t="n">
        <x:f>'定价参数'!$D$84</x:f>
        <x:v>45000</x:v>
      </x:c>
      <x:c r="E20" s="16" t="n">
        <x:v>0</x:v>
      </x:c>
      <x:c r="F20" s="11" t="n">
        <x:v>12000</x:v>
      </x:c>
      <x:c r="G20" s="17" t="n">
        <x:f>SUM(D20:F20)</x:f>
        <x:v>57000</x:v>
      </x:c>
      <x:c r="H20" s="51" t="str">
        <x:v>—</x:v>
      </x:c>
      <x:c r="I20" s="48" t="str">
        <x:v>—</x:v>
      </x:c>
      <x:c r="J20" s="51" t="n">
        <x:v>0</x:v>
      </x:c>
      <x:c r="K20" s="52" t="n">
        <x:f>G20</x:f>
        <x:v>57000</x:v>
      </x:c>
      <x:c r="L20" s="8" t="str">
        <x:v>整次包干</x:v>
      </x:c>
      <x:c r="M20" s="8" t="str">
        <x:v>成功空袭收攻击段平台费和实际使用的标准载荷包。返舰重装燃料、地勤、维护在ST-100另记；弹药只在消耗时计，本次重新装填不再次收整套航弹价。</x:v>
      </x:c>
      <x:c r="N20" t="str">
        <x:v>https://helldivers.wiki.gg/wiki/Eagle_Airstrike</x:v>
      </x:c>
      <x:c r="O20" t="str">
        <x:v>Wiki原文核对；MOD标准价，事件检测待实测</x:v>
      </x:c>
      <x:c r="P20" t="str">
        <x:v>Eagle Airstrike</x:v>
      </x:c>
      <x:c r="Q20" t="str">
        <x:v>中文Wiki用名</x:v>
      </x:c>
      <x:c r="R20" s="66" t="str">
        <x:v>—</x:v>
      </x:c>
      <x:c r="S20" s="66" t="str">
        <x:v>—</x:v>
      </x:c>
      <x:c r="T20" s="66" t="str">
        <x:v>—</x:v>
      </x:c>
      <x:c r="U20" s="67" t="str">
        <x:v>飞鹰沿直线投下一组普通爆炸航弹。 已核对武器与载荷类型；保持平台/弹药分项。</x:v>
      </x:c>
    </x:row>
    <x:row r="21" ht="72" customHeight="1">
      <x:c r="A21" s="2" t="str">
        <x:v>ST-016</x:v>
      </x:c>
      <x:c r="B21" s="2" t="str">
        <x:v>飞鹰</x:v>
      </x:c>
      <x:c r="C21" s="2" t="str">
        <x:v>飞鹰集束炸弹</x:v>
      </x:c>
      <x:c r="D21" s="13" t="n">
        <x:f>'定价参数'!$D$84</x:f>
        <x:v>45000</x:v>
      </x:c>
      <x:c r="E21" s="16" t="n">
        <x:v>0</x:v>
      </x:c>
      <x:c r="F21" s="11" t="n">
        <x:v>18000</x:v>
      </x:c>
      <x:c r="G21" s="18" t="n">
        <x:f>SUM(D21:F21)</x:f>
        <x:v>63000</x:v>
      </x:c>
      <x:c r="H21" s="15" t="str">
        <x:v>—</x:v>
      </x:c>
      <x:c r="I21" s="50" t="str">
        <x:v>—</x:v>
      </x:c>
      <x:c r="J21" s="15" t="n">
        <x:v>0</x:v>
      </x:c>
      <x:c r="K21" s="18" t="n">
        <x:f>G21</x:f>
        <x:v>63000</x:v>
      </x:c>
      <x:c r="L21" s="2" t="str">
        <x:v>整次包干</x:v>
      </x:c>
      <x:c r="M21" s="2" t="str">
        <x:v>成功空袭收攻击段平台费和实际使用的标准载荷包。返舰重装燃料、地勤、维护在ST-100另记；弹药只在消耗时计，本次重新装填不再次收整套航弹价。</x:v>
      </x:c>
      <x:c r="N21" t="str">
        <x:v>https://helldivers.wiki.gg/wiki/Eagle_Cluster_Bomb</x:v>
      </x:c>
      <x:c r="O21" t="str">
        <x:v>Wiki原文核对；MOD标准价，事件检测待实测</x:v>
      </x:c>
      <x:c r="P21" t="str">
        <x:v>Eagle Cluster Bomb</x:v>
      </x:c>
      <x:c r="Q21" t="str">
        <x:v>中文Wiki用名</x:v>
      </x:c>
      <x:c r="R21" s="65" t="str">
        <x:v>—</x:v>
      </x:c>
      <x:c r="S21" s="65" t="str">
        <x:v>—</x:v>
      </x:c>
      <x:c r="T21" s="65" t="str">
        <x:v>—</x:v>
      </x:c>
      <x:c r="U21" s="64" t="str">
        <x:v>集束空袭覆盖小型目标，非专用攻坚航弹。 已核对武器与载荷类型；保持平台/弹药分项。</x:v>
      </x:c>
    </x:row>
    <x:row r="22" ht="72" customHeight="1">
      <x:c r="A22" s="8" t="str">
        <x:v>ST-017</x:v>
      </x:c>
      <x:c r="B22" s="8" t="str">
        <x:v>飞鹰</x:v>
      </x:c>
      <x:c r="C22" s="8" t="str">
        <x:v>飞鹰烟雾攻击</x:v>
      </x:c>
      <x:c r="D22" s="12" t="n">
        <x:f>'定价参数'!$D$84</x:f>
        <x:v>45000</x:v>
      </x:c>
      <x:c r="E22" s="16" t="n">
        <x:v>0</x:v>
      </x:c>
      <x:c r="F22" s="11" t="n">
        <x:v>4000</x:v>
      </x:c>
      <x:c r="G22" s="17" t="n">
        <x:f>SUM(D22:F22)</x:f>
        <x:v>49000</x:v>
      </x:c>
      <x:c r="H22" s="51" t="str">
        <x:v>—</x:v>
      </x:c>
      <x:c r="I22" s="48" t="str">
        <x:v>—</x:v>
      </x:c>
      <x:c r="J22" s="51" t="n">
        <x:v>0</x:v>
      </x:c>
      <x:c r="K22" s="52" t="n">
        <x:f>G22</x:f>
        <x:v>49000</x:v>
      </x:c>
      <x:c r="L22" s="8" t="str">
        <x:v>整次包干</x:v>
      </x:c>
      <x:c r="M22" s="8" t="str">
        <x:v>成功空袭收攻击段平台费和实际使用的标准载荷包。返舰重装燃料、地勤、维护在ST-100另记；弹药只在消耗时计，本次重新装填不再次收整套航弹价。</x:v>
      </x:c>
      <x:c r="N22" t="str">
        <x:v>https://helldivers.wiki.gg/wiki/Eagle_Smoke_Strike</x:v>
      </x:c>
      <x:c r="O22" t="str">
        <x:v>Wiki原文核对；MOD标准价，事件检测待实测</x:v>
      </x:c>
      <x:c r="P22" t="str">
        <x:v>Eagle Smoke Strike</x:v>
      </x:c>
      <x:c r="Q22" t="str">
        <x:v>中文Wiki用名</x:v>
      </x:c>
      <x:c r="R22" s="66" t="str">
        <x:v>—</x:v>
      </x:c>
      <x:c r="S22" s="66" t="str">
        <x:v>—</x:v>
      </x:c>
      <x:c r="T22" s="66" t="str">
        <x:v>—</x:v>
      </x:c>
      <x:c r="U22" s="67" t="str">
        <x:v>飞鹰投放形成大范围掩护的烟幕弹组。 已核对武器与载荷类型；保持平台/弹药分项。</x:v>
      </x:c>
    </x:row>
    <x:row r="23" ht="72" customHeight="1">
      <x:c r="A23" s="2" t="str">
        <x:v>ST-018</x:v>
      </x:c>
      <x:c r="B23" s="2" t="str">
        <x:v>飞鹰</x:v>
      </x:c>
      <x:c r="C23" s="2" t="str">
        <x:v>飞鹰凝固汽油弹空袭</x:v>
      </x:c>
      <x:c r="D23" s="13" t="n">
        <x:f>'定价参数'!$D$84</x:f>
        <x:v>45000</x:v>
      </x:c>
      <x:c r="E23" s="16" t="n">
        <x:v>0</x:v>
      </x:c>
      <x:c r="F23" s="11" t="n">
        <x:v>15000</x:v>
      </x:c>
      <x:c r="G23" s="18" t="n">
        <x:f>SUM(D23:F23)</x:f>
        <x:v>60000</x:v>
      </x:c>
      <x:c r="H23" s="15" t="str">
        <x:v>—</x:v>
      </x:c>
      <x:c r="I23" s="50" t="str">
        <x:v>—</x:v>
      </x:c>
      <x:c r="J23" s="15" t="n">
        <x:v>0</x:v>
      </x:c>
      <x:c r="K23" s="18" t="n">
        <x:f>G23</x:f>
        <x:v>60000</x:v>
      </x:c>
      <x:c r="L23" s="2" t="str">
        <x:v>整次包干</x:v>
      </x:c>
      <x:c r="M23" s="2" t="str">
        <x:v>成功空袭收攻击段平台费和实际使用的标准载荷包。返舰重装燃料、地勤、维护在ST-100另记；弹药只在消耗时计，本次重新装填不再次收整套航弹价。</x:v>
      </x:c>
      <x:c r="N23" t="str">
        <x:v>https://helldivers.wiki.gg/wiki/Eagle_Napalm_Airstrike</x:v>
      </x:c>
      <x:c r="O23" t="str">
        <x:v>Wiki原文核对；MOD标准价，事件检测待实测</x:v>
      </x:c>
      <x:c r="P23" t="str">
        <x:v>Eagle Napalm Airstrike</x:v>
      </x:c>
      <x:c r="Q23" t="str">
        <x:v>中文Wiki用名</x:v>
      </x:c>
      <x:c r="R23" s="65" t="str">
        <x:v>—</x:v>
      </x:c>
      <x:c r="S23" s="65" t="str">
        <x:v>—</x:v>
      </x:c>
      <x:c r="T23" s="65" t="str">
        <x:v>—</x:v>
      </x:c>
      <x:c r="U23" s="64" t="str">
        <x:v>飞鹰投放凝固汽油弹，形成火墙。 已核对武器与载荷类型；保持平台/弹药分项。</x:v>
      </x:c>
    </x:row>
    <x:row r="24" ht="72" customHeight="1">
      <x:c r="A24" s="8" t="str">
        <x:v>ST-019</x:v>
      </x:c>
      <x:c r="B24" s="8" t="str">
        <x:v>飞鹰</x:v>
      </x:c>
      <x:c r="C24" s="8" t="str">
        <x:v>飞鹰110mm火箭巢</x:v>
      </x:c>
      <x:c r="D24" s="12" t="n">
        <x:f>'定价参数'!$D$84</x:f>
        <x:v>45000</x:v>
      </x:c>
      <x:c r="E24" s="16" t="n">
        <x:v>0</x:v>
      </x:c>
      <x:c r="F24" s="11" t="n">
        <x:v>18000</x:v>
      </x:c>
      <x:c r="G24" s="17" t="n">
        <x:f>SUM(D24:F24)</x:f>
        <x:v>63000</x:v>
      </x:c>
      <x:c r="H24" s="51" t="str">
        <x:v>—</x:v>
      </x:c>
      <x:c r="I24" s="48" t="str">
        <x:v>—</x:v>
      </x:c>
      <x:c r="J24" s="51" t="n">
        <x:v>0</x:v>
      </x:c>
      <x:c r="K24" s="52" t="n">
        <x:f>G24</x:f>
        <x:v>63000</x:v>
      </x:c>
      <x:c r="L24" s="8" t="str">
        <x:v>整次包干</x:v>
      </x:c>
      <x:c r="M24" s="8" t="str">
        <x:v>成功空袭收攻击段平台费和实际使用的标准载荷包。返舰重装燃料、地勤、维护在ST-100另记；弹药只在消耗时计，本次重新装填不再次收整套航弹价。</x:v>
      </x:c>
      <x:c r="N24" t="str">
        <x:v>https://helldivers.wiki.gg/wiki/Eagle_110mm_Rocket_Pods</x:v>
      </x:c>
      <x:c r="O24" t="str">
        <x:v>Wiki原文核对；MOD标准价，事件检测待实测</x:v>
      </x:c>
      <x:c r="P24" t="str">
        <x:v>Eagle 110mm Rocket Pods</x:v>
      </x:c>
      <x:c r="Q24" t="str">
        <x:v>中文Wiki用名</x:v>
      </x:c>
      <x:c r="R24" s="66" t="str">
        <x:v>—</x:v>
      </x:c>
      <x:c r="S24" s="66" t="str">
        <x:v>—</x:v>
      </x:c>
      <x:c r="T24" s="66" t="str">
        <x:v>—</x:v>
      </x:c>
      <x:c r="U24" s="67" t="str">
        <x:v>飞鹰驾驶员向信标附近的大型目标发射110mm火箭组。 已核对武器与载荷类型；保持平台/弹药分项。</x:v>
      </x:c>
    </x:row>
    <x:row r="25" ht="72" customHeight="1">
      <x:c r="A25" s="2" t="str">
        <x:v>ST-020</x:v>
      </x:c>
      <x:c r="B25" s="2" t="str">
        <x:v>飞鹰</x:v>
      </x:c>
      <x:c r="C25" s="2" t="str">
        <x:v>飞鹰500kg炸弹</x:v>
      </x:c>
      <x:c r="D25" s="13" t="n">
        <x:f>'定价参数'!$D$84</x:f>
        <x:v>45000</x:v>
      </x:c>
      <x:c r="E25" s="16" t="n">
        <x:v>0</x:v>
      </x:c>
      <x:c r="F25" s="11" t="n">
        <x:v>10000</x:v>
      </x:c>
      <x:c r="G25" s="18" t="n">
        <x:f>SUM(D25:F25)</x:f>
        <x:v>55000</x:v>
      </x:c>
      <x:c r="H25" s="15" t="str">
        <x:v>—</x:v>
      </x:c>
      <x:c r="I25" s="50" t="str">
        <x:v>—</x:v>
      </x:c>
      <x:c r="J25" s="15" t="n">
        <x:v>0</x:v>
      </x:c>
      <x:c r="K25" s="18" t="n">
        <x:f>G25</x:f>
        <x:v>55000</x:v>
      </x:c>
      <x:c r="L25" s="2" t="str">
        <x:v>整次包干</x:v>
      </x:c>
      <x:c r="M25" s="2" t="str">
        <x:v>成功空袭收攻击段平台费和实际使用的标准载荷包。返舰重装燃料、地勤、维护在ST-100另记；弹药只在消耗时计，本次重新装填不再次收整套航弹价。</x:v>
      </x:c>
      <x:c r="N25" t="str">
        <x:v>https://helldivers.wiki.gg/wiki/Eagle_500kg_Bomb</x:v>
      </x:c>
      <x:c r="O25" t="str">
        <x:v>Wiki原文核对；MOD标准价，事件检测待实测</x:v>
      </x:c>
      <x:c r="P25" t="str">
        <x:v>Eagle 500kg Bomb</x:v>
      </x:c>
      <x:c r="Q25" t="str">
        <x:v>中文Wiki用名</x:v>
      </x:c>
      <x:c r="R25" s="65" t="str">
        <x:v>—</x:v>
      </x:c>
      <x:c r="S25" s="65" t="str">
        <x:v>—</x:v>
      </x:c>
      <x:c r="T25" s="65" t="str">
        <x:v>—</x:v>
      </x:c>
      <x:c r="U25" s="64" t="str">
        <x:v>飞鹰投下500kg大型反装甲炸弹。 已核对武器与载荷类型；保持平台/弹药分项。</x:v>
      </x:c>
    </x:row>
    <x:row r="26" ht="72" customHeight="1">
      <x:c r="A26" s="8" t="str">
        <x:v>ST-021</x:v>
      </x:c>
      <x:c r="B26" s="8" t="str">
        <x:v>支援武器</x:v>
      </x:c>
      <x:c r="C26" s="8" t="str">
        <x:v>MG-43 机枪</x:v>
      </x:c>
      <x:c r="D26" s="12" t="n">
        <x:f>'定价参数'!$D$83</x:f>
        <x:v>30000</x:v>
      </x:c>
      <x:c r="E26" s="12" t="n">
        <x:f>ROUND('装备与弹药'!$D$86,2)</x:f>
        <x:v>12000</x:v>
      </x:c>
      <x:c r="F26" s="11" t="n">
        <x:v>0</x:v>
      </x:c>
      <x:c r="G26" s="17" t="n">
        <x:f>SUM(D26:F26)</x:f>
        <x:v>42000</x:v>
      </x:c>
      <x:c r="H26" s="51" t="str">
        <x:v>—</x:v>
      </x:c>
      <x:c r="I26" s="48" t="str">
        <x:v>—</x:v>
      </x:c>
      <x:c r="J26" s="51" t="n">
        <x:v>0</x:v>
      </x:c>
      <x:c r="K26" s="52" t="n">
        <x:f>G26</x:f>
        <x:v>42000</x:v>
      </x:c>
      <x:c r="L26" s="8" t="str">
        <x:v>弹药消耗另记</x:v>
      </x:c>
      <x:c r="M26" s="8" t="str">
        <x:v>可重复使用武器；本体及投送已记，弹药射出/丢弃另记；附属弹药背包不重复收费。</x:v>
      </x:c>
      <x:c r="N26" t="str">
        <x:v>https://helldivers.wiki.gg/wiki/MG-43_Machine_Gun</x:v>
      </x:c>
      <x:c r="O26" t="str">
        <x:v>Wiki原文核对；MOD标准价，事件检测待实测</x:v>
      </x:c>
      <x:c r="P26" t="str">
        <x:v>MG-43 Machine Gun</x:v>
      </x:c>
      <x:c r="Q26" t="str">
        <x:v>中文Wiki用名</x:v>
      </x:c>
      <x:c r="R26" s="66" t="str">
        <x:v>—</x:v>
      </x:c>
      <x:c r="S26" s="66" t="str">
        <x:v>—</x:v>
      </x:c>
      <x:c r="T26" s="66" t="str">
        <x:v>—</x:v>
      </x:c>
      <x:c r="U26" s="67" t="str">
        <x:v>较适合固定位置使用的穿甲机枪，威力与后坐力较高。 已核对对应装备构造；本体、投送和弹药按现有口径分项。</x:v>
      </x:c>
    </x:row>
    <x:row r="27" ht="72" customHeight="1">
      <x:c r="A27" s="2" t="str">
        <x:v>ST-022</x:v>
      </x:c>
      <x:c r="B27" s="2" t="str">
        <x:v>支援武器</x:v>
      </x:c>
      <x:c r="C27" s="2" t="str">
        <x:v>M-105 盟友</x:v>
      </x:c>
      <x:c r="D27" s="13" t="n">
        <x:f>'定价参数'!$D$83</x:f>
        <x:v>30000</x:v>
      </x:c>
      <x:c r="E27" s="13" t="n">
        <x:f>ROUND('装备与弹药'!$D$87,2)</x:f>
        <x:v>8400</x:v>
      </x:c>
      <x:c r="F27" s="11" t="n">
        <x:v>0</x:v>
      </x:c>
      <x:c r="G27" s="18" t="n">
        <x:f>SUM(D27:F27)</x:f>
        <x:v>38400</x:v>
      </x:c>
      <x:c r="H27" s="15" t="str">
        <x:v>—</x:v>
      </x:c>
      <x:c r="I27" s="50" t="str">
        <x:v>—</x:v>
      </x:c>
      <x:c r="J27" s="15" t="n">
        <x:v>0</x:v>
      </x:c>
      <x:c r="K27" s="18" t="n">
        <x:f>G27</x:f>
        <x:v>38400</x:v>
      </x:c>
      <x:c r="L27" s="2" t="str">
        <x:v>弹药消耗另记</x:v>
      </x:c>
      <x:c r="M27" s="2" t="str">
        <x:v>可重复使用武器；本体及投送已记，弹药射出/丢弃另记；附属弹药背包不重复收费。</x:v>
      </x:c>
      <x:c r="N27" t="str">
        <x:v>https://helldivers.wiki.gg/wiki/M-105_Stalwart</x:v>
      </x:c>
      <x:c r="O27" t="str">
        <x:v>Wiki原文核对；MOD标准价，事件检测待实测</x:v>
      </x:c>
      <x:c r="P27" t="str">
        <x:v>M-105 Stalwart</x:v>
      </x:c>
      <x:c r="Q27" t="str">
        <x:v>中文Wiki用名</x:v>
      </x:c>
      <x:c r="R27" s="65" t="str">
        <x:v>—</x:v>
      </x:c>
      <x:c r="S27" s="65" t="str">
        <x:v>—</x:v>
      </x:c>
      <x:c r="T27" s="65" t="str">
        <x:v>—</x:v>
      </x:c>
      <x:c r="U27" s="64" t="str">
        <x:v>紧凑小口径机枪，着重机动性与快速换弹。 已核对对应装备构造；本体、投送和弹药按现有口径分项。</x:v>
      </x:c>
    </x:row>
    <x:row r="28" ht="72" customHeight="1">
      <x:c r="A28" s="8" t="str">
        <x:v>ST-023</x:v>
      </x:c>
      <x:c r="B28" s="8" t="str">
        <x:v>支援武器</x:v>
      </x:c>
      <x:c r="C28" s="8" t="str">
        <x:v>APW-1 反器材步枪</x:v>
      </x:c>
      <x:c r="D28" s="12" t="n">
        <x:f>'定价参数'!$D$83</x:f>
        <x:v>30000</x:v>
      </x:c>
      <x:c r="E28" s="12" t="n">
        <x:f>ROUND('装备与弹药'!$D$88,2)</x:f>
        <x:v>15000</x:v>
      </x:c>
      <x:c r="F28" s="11" t="n">
        <x:v>0</x:v>
      </x:c>
      <x:c r="G28" s="17" t="n">
        <x:f>SUM(D28:F28)</x:f>
        <x:v>45000</x:v>
      </x:c>
      <x:c r="H28" s="51" t="str">
        <x:v>—</x:v>
      </x:c>
      <x:c r="I28" s="48" t="str">
        <x:v>—</x:v>
      </x:c>
      <x:c r="J28" s="51" t="n">
        <x:v>0</x:v>
      </x:c>
      <x:c r="K28" s="52" t="n">
        <x:f>G28</x:f>
        <x:v>45000</x:v>
      </x:c>
      <x:c r="L28" s="8" t="str">
        <x:v>弹药消耗另记</x:v>
      </x:c>
      <x:c r="M28" s="8" t="str">
        <x:v>可重复使用武器；本体及投送已记，弹药射出/丢弃另记；附属弹药背包不重复收费。</x:v>
      </x:c>
      <x:c r="N28" t="str">
        <x:v>https://helldivers.wiki.gg/wiki/APW-1_Anti-Materiel_Rifle</x:v>
      </x:c>
      <x:c r="O28" t="str">
        <x:v>Wiki原文核对；MOD标准价，事件检测待实测</x:v>
      </x:c>
      <x:c r="P28" t="str">
        <x:v>APW-1 Anti-Materiel Rifle</x:v>
      </x:c>
      <x:c r="Q28" t="str">
        <x:v>中文Wiki用名</x:v>
      </x:c>
      <x:c r="R28" s="66" t="str">
        <x:v>—</x:v>
      </x:c>
      <x:c r="S28" s="66" t="str">
        <x:v>—</x:v>
      </x:c>
      <x:c r="T28" s="66" t="str">
        <x:v>—</x:v>
      </x:c>
      <x:c r="U28" s="67" t="str">
        <x:v>用于远距离打击轻型载具装甲的大口径狙击步枪。 已核对对应装备构造；本体、投送和弹药按现有口径分项。</x:v>
      </x:c>
    </x:row>
    <x:row r="29" ht="72" customHeight="1">
      <x:c r="A29" s="2" t="str">
        <x:v>ST-024</x:v>
      </x:c>
      <x:c r="B29" s="2" t="str">
        <x:v>支援武器</x:v>
      </x:c>
      <x:c r="C29" s="2" t="str">
        <x:v>EAT-17 消耗性反坦克武器</x:v>
      </x:c>
      <x:c r="D29" s="13" t="n">
        <x:f>'定价参数'!$D$83</x:f>
        <x:v>30000</x:v>
      </x:c>
      <x:c r="E29" s="13" t="n">
        <x:f>ROUND('装备与弹药'!D89*2,2)</x:f>
        <x:v>400</x:v>
      </x:c>
      <x:c r="F29" s="11" t="n">
        <x:f>ROUND('装备与弹药'!F89*2*1,2)</x:f>
        <x:v>7000</x:v>
      </x:c>
      <x:c r="G29" s="18" t="n">
        <x:f>SUM(D29:F29)</x:f>
        <x:v>37400</x:v>
      </x:c>
      <x:c r="H29" s="15" t="str">
        <x:v>—</x:v>
      </x:c>
      <x:c r="I29" s="50" t="str">
        <x:v>—</x:v>
      </x:c>
      <x:c r="J29" s="15" t="n">
        <x:v>0</x:v>
      </x:c>
      <x:c r="K29" s="18" t="n">
        <x:f>G29</x:f>
        <x:v>37400</x:v>
      </x:c>
      <x:c r="L29" s="2" t="str">
        <x:v>整次包干</x:v>
      </x:c>
      <x:c r="M29" s="2" t="str">
        <x:v>一次投送2具，共2发；本体和这些弹药已全包，实际发射不再收弹费。</x:v>
      </x:c>
      <x:c r="N29" t="str">
        <x:v>https://helldivers.wiki.gg/wiki/EAT-17_Expendable_Anti-Tank</x:v>
      </x:c>
      <x:c r="O29" t="str">
        <x:v>Wiki原文核对；MOD标准价，事件检测待实测</x:v>
      </x:c>
      <x:c r="P29" t="str">
        <x:v>EAT-17 Expendable Anti-Tank</x:v>
      </x:c>
      <x:c r="Q29" t="str">
        <x:v>中文Wiki用名</x:v>
      </x:c>
      <x:c r="R29" s="65" t="str">
        <x:v>—</x:v>
      </x:c>
      <x:c r="S29" s="65" t="str">
        <x:v>—</x:v>
      </x:c>
      <x:c r="T29" s="65" t="str">
        <x:v>—</x:v>
      </x:c>
      <x:c r="U29" s="64" t="str">
        <x:v>单发一次性反坦克发射器，每次投送两具。 已核对对应装备构造；本体、投送和弹药按现有口径分项。</x:v>
      </x:c>
    </x:row>
    <x:row r="30" ht="72" customHeight="1">
      <x:c r="A30" s="8" t="str">
        <x:v>ST-025</x:v>
      </x:c>
      <x:c r="B30" s="8" t="str">
        <x:v>支援武器</x:v>
      </x:c>
      <x:c r="C30" s="8" t="str">
        <x:v>GR-8 无后坐力炮</x:v>
      </x:c>
      <x:c r="D30" s="12" t="n">
        <x:f>'定价参数'!$D$83</x:f>
        <x:v>30000</x:v>
      </x:c>
      <x:c r="E30" s="12" t="n">
        <x:f>ROUND('装备与弹药'!$D$90,2)</x:f>
        <x:v>25000</x:v>
      </x:c>
      <x:c r="F30" s="11" t="n">
        <x:v>0</x:v>
      </x:c>
      <x:c r="G30" s="17" t="n">
        <x:f>SUM(D30:F30)</x:f>
        <x:v>55000</x:v>
      </x:c>
      <x:c r="H30" s="51" t="str">
        <x:v>—</x:v>
      </x:c>
      <x:c r="I30" s="48" t="str">
        <x:v>—</x:v>
      </x:c>
      <x:c r="J30" s="51" t="n">
        <x:v>0</x:v>
      </x:c>
      <x:c r="K30" s="52" t="n">
        <x:f>G30</x:f>
        <x:v>55000</x:v>
      </x:c>
      <x:c r="L30" s="8" t="str">
        <x:v>弹药消耗另记</x:v>
      </x:c>
      <x:c r="M30" s="8" t="str">
        <x:v>可重复使用武器；本体及投送已记，弹药射出/丢弃另记；附属弹药背包不重复收费。</x:v>
      </x:c>
      <x:c r="N30" t="str">
        <x:v>https://helldivers.wiki.gg/wiki/GR-8_Recoilless_Rifle</x:v>
      </x:c>
      <x:c r="O30" t="str">
        <x:v>Wiki原文核对；MOD标准价，事件检测待实测</x:v>
      </x:c>
      <x:c r="P30" t="str">
        <x:v>GR-8 Recoilless Rifle</x:v>
      </x:c>
      <x:c r="Q30" t="str">
        <x:v>中文Wiki用名</x:v>
      </x:c>
      <x:c r="R30" s="66" t="str">
        <x:v>—</x:v>
      </x:c>
      <x:c r="S30" s="66" t="str">
        <x:v>—</x:v>
      </x:c>
      <x:c r="T30" s="66" t="str">
        <x:v>—</x:v>
      </x:c>
      <x:c r="U30" s="67" t="str">
        <x:v>可重复装填的反装甲无后坐力炮，带配套弹药背包与可切换高爆弹。 已核对对应装备构造；本体、投送和弹药按现有口径分项。</x:v>
      </x:c>
    </x:row>
    <x:row r="31" ht="72" customHeight="1">
      <x:c r="A31" s="2" t="str">
        <x:v>ST-026</x:v>
      </x:c>
      <x:c r="B31" s="2" t="str">
        <x:v>支援武器</x:v>
      </x:c>
      <x:c r="C31" s="2" t="str">
        <x:v>FLAM-40 火焰喷射器</x:v>
      </x:c>
      <x:c r="D31" s="13" t="n">
        <x:f>'定价参数'!$D$83</x:f>
        <x:v>30000</x:v>
      </x:c>
      <x:c r="E31" s="13" t="n">
        <x:f>ROUND('装备与弹药'!$D$91,2)</x:f>
        <x:v>5000</x:v>
      </x:c>
      <x:c r="F31" s="11" t="n">
        <x:v>0</x:v>
      </x:c>
      <x:c r="G31" s="18" t="n">
        <x:f>SUM(D31:F31)</x:f>
        <x:v>35000</x:v>
      </x:c>
      <x:c r="H31" s="15" t="str">
        <x:v>—</x:v>
      </x:c>
      <x:c r="I31" s="50" t="str">
        <x:v>—</x:v>
      </x:c>
      <x:c r="J31" s="15" t="n">
        <x:v>0</x:v>
      </x:c>
      <x:c r="K31" s="18" t="n">
        <x:f>G31</x:f>
        <x:v>35000</x:v>
      </x:c>
      <x:c r="L31" s="2" t="str">
        <x:v>弹药消耗另记</x:v>
      </x:c>
      <x:c r="M31" s="2" t="str">
        <x:v>可重复使用武器；本体及投送已记，弹药射出/丢弃另记；附属弹药背包不重复收费。</x:v>
      </x:c>
      <x:c r="N31" t="str">
        <x:v>https://helldivers.wiki.gg/wiki/FLAM-40_Flamethrower</x:v>
      </x:c>
      <x:c r="O31" t="str">
        <x:v>Wiki原文核对；MOD标准价，事件检测待实测</x:v>
      </x:c>
      <x:c r="P31" t="str">
        <x:v>FLAM-40 Flamethrower</x:v>
      </x:c>
      <x:c r="Q31" t="str">
        <x:v>中文Wiki用名</x:v>
      </x:c>
      <x:c r="R31" s="65" t="str">
        <x:v>—</x:v>
      </x:c>
      <x:c r="S31" s="65" t="str">
        <x:v>—</x:v>
      </x:c>
      <x:c r="T31" s="65" t="str">
        <x:v>—</x:v>
      </x:c>
      <x:c r="U31" s="64" t="str">
        <x:v>短距离火焰武器，可点燃目标与地面。 已核对对应装备构造；本体、投送和弹药按现有口径分项。</x:v>
      </x:c>
    </x:row>
    <x:row r="32" ht="72" customHeight="1">
      <x:c r="A32" s="8" t="str">
        <x:v>ST-027</x:v>
      </x:c>
      <x:c r="B32" s="8" t="str">
        <x:v>支援武器</x:v>
      </x:c>
      <x:c r="C32" s="8" t="str">
        <x:v>AC-8 机炮</x:v>
      </x:c>
      <x:c r="D32" s="12" t="n">
        <x:f>'定价参数'!$D$83</x:f>
        <x:v>30000</x:v>
      </x:c>
      <x:c r="E32" s="12" t="n">
        <x:f>ROUND('装备与弹药'!$D$92,2)</x:f>
        <x:v>30000</x:v>
      </x:c>
      <x:c r="F32" s="11" t="n">
        <x:v>0</x:v>
      </x:c>
      <x:c r="G32" s="17" t="n">
        <x:f>SUM(D32:F32)</x:f>
        <x:v>60000</x:v>
      </x:c>
      <x:c r="H32" s="51" t="str">
        <x:v>—</x:v>
      </x:c>
      <x:c r="I32" s="48" t="str">
        <x:v>—</x:v>
      </x:c>
      <x:c r="J32" s="51" t="n">
        <x:v>0</x:v>
      </x:c>
      <x:c r="K32" s="52" t="n">
        <x:f>G32</x:f>
        <x:v>60000</x:v>
      </x:c>
      <x:c r="L32" s="8" t="str">
        <x:v>弹药消耗另记</x:v>
      </x:c>
      <x:c r="M32" s="8" t="str">
        <x:v>可重复使用武器；本体及投送已记，弹药射出/丢弃另记；附属弹药背包不重复收费。</x:v>
      </x:c>
      <x:c r="N32" t="str">
        <x:v>https://helldivers.wiki.gg/wiki/AC-8_Autocannon</x:v>
      </x:c>
      <x:c r="O32" t="str">
        <x:v>Wiki原文核对；MOD标准价，事件检测待实测</x:v>
      </x:c>
      <x:c r="P32" t="str">
        <x:v>AC-8 Autocannon</x:v>
      </x:c>
      <x:c r="Q32" t="str">
        <x:v>中文Wiki用名</x:v>
      </x:c>
      <x:c r="R32" s="66" t="str">
        <x:v>—</x:v>
      </x:c>
      <x:c r="S32" s="66" t="str">
        <x:v>—</x:v>
      </x:c>
      <x:c r="T32" s="66" t="str">
        <x:v>—</x:v>
      </x:c>
      <x:c r="U32" s="67" t="str">
        <x:v>可装填机炮及配套背包；可切换穿甲高爆弹与近炸弹。 已核对对应装备构造；本体、投送和弹药按现有口径分项。</x:v>
      </x:c>
    </x:row>
    <x:row r="33" ht="72" customHeight="1">
      <x:c r="A33" s="2" t="str">
        <x:v>ST-028</x:v>
      </x:c>
      <x:c r="B33" s="2" t="str">
        <x:v>支援武器</x:v>
      </x:c>
      <x:c r="C33" s="2" t="str">
        <x:v>MG-206 重机枪</x:v>
      </x:c>
      <x:c r="D33" s="13" t="n">
        <x:f>'定价参数'!$D$83</x:f>
        <x:v>30000</x:v>
      </x:c>
      <x:c r="E33" s="13" t="n">
        <x:f>ROUND('装备与弹药'!$D$93,2)</x:f>
        <x:v>20000</x:v>
      </x:c>
      <x:c r="F33" s="11" t="n">
        <x:v>0</x:v>
      </x:c>
      <x:c r="G33" s="18" t="n">
        <x:f>SUM(D33:F33)</x:f>
        <x:v>50000</x:v>
      </x:c>
      <x:c r="H33" s="15" t="str">
        <x:v>—</x:v>
      </x:c>
      <x:c r="I33" s="50" t="str">
        <x:v>—</x:v>
      </x:c>
      <x:c r="J33" s="15" t="n">
        <x:v>0</x:v>
      </x:c>
      <x:c r="K33" s="18" t="n">
        <x:f>G33</x:f>
        <x:v>50000</x:v>
      </x:c>
      <x:c r="L33" s="2" t="str">
        <x:v>弹药消耗另记</x:v>
      </x:c>
      <x:c r="M33" s="2" t="str">
        <x:v>可重复使用武器；本体及投送已记，弹药射出/丢弃另记；附属弹药背包不重复收费。</x:v>
      </x:c>
      <x:c r="N33" t="str">
        <x:v>https://helldivers.wiki.gg/wiki/MG-206_Heavy_Machine_Gun</x:v>
      </x:c>
      <x:c r="O33" t="str">
        <x:v>Wiki原文核对；MOD标准价，事件检测待实测</x:v>
      </x:c>
      <x:c r="P33" t="str">
        <x:v>MG-206 Heavy Machine Gun</x:v>
      </x:c>
      <x:c r="Q33" t="str">
        <x:v>中文Wiki用名</x:v>
      </x:c>
      <x:c r="R33" s="65" t="str">
        <x:v>—</x:v>
      </x:c>
      <x:c r="S33" s="65" t="str">
        <x:v>—</x:v>
      </x:c>
      <x:c r="T33" s="65" t="str">
        <x:v>—</x:v>
      </x:c>
      <x:c r="U33" s="64" t="str">
        <x:v>后坐力强的大威力重机枪，使用重型穿甲弹。 已核对对应装备构造；本体、投送和弹药按现有口径分项。</x:v>
      </x:c>
    </x:row>
    <x:row r="34" ht="72" customHeight="1">
      <x:c r="A34" s="8" t="str">
        <x:v>ST-029</x:v>
      </x:c>
      <x:c r="B34" s="8" t="str">
        <x:v>支援武器</x:v>
      </x:c>
      <x:c r="C34" s="8" t="str">
        <x:v>MLS-4X 突击兵</x:v>
      </x:c>
      <x:c r="D34" s="12" t="n">
        <x:f>'定价参数'!$D$83</x:f>
        <x:v>30000</x:v>
      </x:c>
      <x:c r="E34" s="12" t="n">
        <x:f>ROUND('装备与弹药'!D94*1,2)</x:f>
        <x:v>400</x:v>
      </x:c>
      <x:c r="F34" s="11" t="n">
        <x:f>ROUND('装备与弹药'!F94*1*4,2)</x:f>
        <x:v>24000</x:v>
      </x:c>
      <x:c r="G34" s="17" t="n">
        <x:f>SUM(D34:F34)</x:f>
        <x:v>54400</x:v>
      </x:c>
      <x:c r="H34" s="51" t="str">
        <x:v>—</x:v>
      </x:c>
      <x:c r="I34" s="48" t="str">
        <x:v>—</x:v>
      </x:c>
      <x:c r="J34" s="51" t="n">
        <x:v>0</x:v>
      </x:c>
      <x:c r="K34" s="52" t="n">
        <x:f>G34</x:f>
        <x:v>54400</x:v>
      </x:c>
      <x:c r="L34" s="8" t="str">
        <x:v>整次包干</x:v>
      </x:c>
      <x:c r="M34" s="8" t="str">
        <x:v>一次投送1具，共4发；本体和这些弹药已全包，实际发射不再收弹费。</x:v>
      </x:c>
      <x:c r="N34" t="str">
        <x:v>https://helldivers.wiki.gg/wiki/MLS-4X_Commando</x:v>
      </x:c>
      <x:c r="O34" t="str">
        <x:v>Wiki原文核对；MOD标准价，事件检测待实测</x:v>
      </x:c>
      <x:c r="P34" t="str">
        <x:v>MLS-4X Commando</x:v>
      </x:c>
      <x:c r="Q34" t="str">
        <x:v>中文Wiki用名</x:v>
      </x:c>
      <x:c r="R34" s="66" t="str">
        <x:v>—</x:v>
      </x:c>
      <x:c r="S34" s="66" t="str">
        <x:v>—</x:v>
      </x:c>
      <x:c r="T34" s="66" t="str">
        <x:v>—</x:v>
      </x:c>
      <x:c r="U34" s="67" t="str">
        <x:v>一次性四联装激光制导导弹发射器。 已核对对应装备构造；本体、投送和弹药按现有口径分项。</x:v>
      </x:c>
    </x:row>
    <x:row r="35" ht="72" customHeight="1">
      <x:c r="A35" s="2" t="str">
        <x:v>ST-030</x:v>
      </x:c>
      <x:c r="B35" s="2" t="str">
        <x:v>支援武器</x:v>
      </x:c>
      <x:c r="C35" s="2" t="str">
        <x:v>RL-77 空爆火箭弹发射器</x:v>
      </x:c>
      <x:c r="D35" s="13" t="n">
        <x:f>'定价参数'!$D$83</x:f>
        <x:v>30000</x:v>
      </x:c>
      <x:c r="E35" s="13" t="n">
        <x:f>ROUND('装备与弹药'!$D$95,2)</x:f>
        <x:v>25000</x:v>
      </x:c>
      <x:c r="F35" s="11" t="n">
        <x:v>0</x:v>
      </x:c>
      <x:c r="G35" s="18" t="n">
        <x:f>SUM(D35:F35)</x:f>
        <x:v>55000</x:v>
      </x:c>
      <x:c r="H35" s="15" t="str">
        <x:v>—</x:v>
      </x:c>
      <x:c r="I35" s="50" t="str">
        <x:v>—</x:v>
      </x:c>
      <x:c r="J35" s="15" t="n">
        <x:v>0</x:v>
      </x:c>
      <x:c r="K35" s="18" t="n">
        <x:f>G35</x:f>
        <x:v>55000</x:v>
      </x:c>
      <x:c r="L35" s="2" t="str">
        <x:v>弹药消耗另记</x:v>
      </x:c>
      <x:c r="M35" s="2" t="str">
        <x:v>可重复使用武器；本体及投送已记，弹药射出/丢弃另记；附属弹药背包不重复收费。</x:v>
      </x:c>
      <x:c r="N35" t="str">
        <x:v>https://helldivers.wiki.gg/wiki/RL-77_Airburst_Rocket_Launcher</x:v>
      </x:c>
      <x:c r="O35" t="str">
        <x:v>Wiki原文核对；MOD标准价，事件检测待实测</x:v>
      </x:c>
      <x:c r="P35" t="str">
        <x:v>RL-77 Airburst Rocket Launcher</x:v>
      </x:c>
      <x:c r="Q35" t="str">
        <x:v>中文Wiki用名</x:v>
      </x:c>
      <x:c r="R35" s="65" t="str">
        <x:v>—</x:v>
      </x:c>
      <x:c r="S35" s="65" t="str">
        <x:v>—</x:v>
      </x:c>
      <x:c r="T35" s="65" t="str">
        <x:v>—</x:v>
      </x:c>
      <x:c r="U35" s="64" t="str">
        <x:v>近炸火箭释放集束子弹药，适合轻中型目标群。 已核对对应装备构造；本体、投送和弹药按现有口径分项。</x:v>
      </x:c>
    </x:row>
    <x:row r="36" ht="72" customHeight="1">
      <x:c r="A36" s="8" t="str">
        <x:v>ST-031</x:v>
      </x:c>
      <x:c r="B36" s="8" t="str">
        <x:v>支援武器</x:v>
      </x:c>
      <x:c r="C36" s="8" t="str">
        <x:v>FAF-14 飞矛</x:v>
      </x:c>
      <x:c r="D36" s="12" t="n">
        <x:f>'定价参数'!$D$83</x:f>
        <x:v>30000</x:v>
      </x:c>
      <x:c r="E36" s="12" t="n">
        <x:f>ROUND('装备与弹药'!$D$96,2)</x:f>
        <x:v>50000</x:v>
      </x:c>
      <x:c r="F36" s="11" t="n">
        <x:v>0</x:v>
      </x:c>
      <x:c r="G36" s="17" t="n">
        <x:f>SUM(D36:F36)</x:f>
        <x:v>80000</x:v>
      </x:c>
      <x:c r="H36" s="51" t="str">
        <x:v>—</x:v>
      </x:c>
      <x:c r="I36" s="48" t="str">
        <x:v>—</x:v>
      </x:c>
      <x:c r="J36" s="51" t="n">
        <x:v>0</x:v>
      </x:c>
      <x:c r="K36" s="52" t="n">
        <x:f>G36</x:f>
        <x:v>80000</x:v>
      </x:c>
      <x:c r="L36" s="8" t="str">
        <x:v>弹药消耗另记</x:v>
      </x:c>
      <x:c r="M36" s="8" t="str">
        <x:v>可重复使用武器；本体及投送已记，弹药射出/丢弃另记；附属弹药背包不重复收费。</x:v>
      </x:c>
      <x:c r="N36" t="str">
        <x:v>https://helldivers.wiki.gg/wiki/FAF-14_Spear</x:v>
      </x:c>
      <x:c r="O36" t="str">
        <x:v>Wiki原文核对；MOD标准价，事件检测待实测</x:v>
      </x:c>
      <x:c r="P36" t="str">
        <x:v>FAF-14 Spear</x:v>
      </x:c>
      <x:c r="Q36" t="str">
        <x:v>中文Wiki用名</x:v>
      </x:c>
      <x:c r="R36" s="66" t="str">
        <x:v>—</x:v>
      </x:c>
      <x:c r="S36" s="66" t="str">
        <x:v>—</x:v>
      </x:c>
      <x:c r="T36" s="66" t="str">
        <x:v>—</x:v>
      </x:c>
      <x:c r="U36" s="67" t="str">
        <x:v>需先锁定目标的重型反坦克寻的导弹系统。 已核对对应装备构造；本体、投送和弹药按现有口径分项。</x:v>
      </x:c>
    </x:row>
    <x:row r="37" ht="72" customHeight="1">
      <x:c r="A37" s="2" t="str">
        <x:v>ST-032</x:v>
      </x:c>
      <x:c r="B37" s="2" t="str">
        <x:v>支援武器</x:v>
      </x:c>
      <x:c r="C37" s="2" t="str">
        <x:v>RS-422 磁轨炮</x:v>
      </x:c>
      <x:c r="D37" s="13" t="n">
        <x:f>'定价参数'!$D$83</x:f>
        <x:v>30000</x:v>
      </x:c>
      <x:c r="E37" s="13" t="n">
        <x:f>ROUND('装备与弹药'!$D$97,2)</x:f>
        <x:v>60000</x:v>
      </x:c>
      <x:c r="F37" s="11" t="n">
        <x:v>0</x:v>
      </x:c>
      <x:c r="G37" s="18" t="n">
        <x:f>SUM(D37:F37)</x:f>
        <x:v>90000</x:v>
      </x:c>
      <x:c r="H37" s="15" t="str">
        <x:v>—</x:v>
      </x:c>
      <x:c r="I37" s="50" t="str">
        <x:v>—</x:v>
      </x:c>
      <x:c r="J37" s="15" t="n">
        <x:v>0</x:v>
      </x:c>
      <x:c r="K37" s="18" t="n">
        <x:f>G37</x:f>
        <x:v>90000</x:v>
      </x:c>
      <x:c r="L37" s="2" t="str">
        <x:v>弹药消耗另记</x:v>
      </x:c>
      <x:c r="M37" s="2" t="str">
        <x:v>可重复使用武器；本体及投送已记，弹药射出/丢弃另记；附属弹药背包不重复收费。</x:v>
      </x:c>
      <x:c r="N37" t="str">
        <x:v>https://helldivers.wiki.gg/wiki/RS-422_Railgun</x:v>
      </x:c>
      <x:c r="O37" t="str">
        <x:v>Wiki原文核对；MOD标准价，事件检测待实测</x:v>
      </x:c>
      <x:c r="P37" t="str">
        <x:v>RS-422 Railgun</x:v>
      </x:c>
      <x:c r="Q37" t="str">
        <x:v>中文Wiki用名</x:v>
      </x:c>
      <x:c r="R37" s="65" t="str">
        <x:v>—</x:v>
      </x:c>
      <x:c r="S37" s="65" t="str">
        <x:v>—</x:v>
      </x:c>
      <x:c r="T37" s="65" t="str">
        <x:v>—</x:v>
      </x:c>
      <x:c r="U37" s="64" t="str">
        <x:v>实验性蓄力电磁武器，优先强化穿甲能力。 已核对对应装备构造；本体、投送和弹药按现有口径分项。</x:v>
      </x:c>
    </x:row>
    <x:row r="38" ht="72" customHeight="1">
      <x:c r="A38" s="8" t="str">
        <x:v>ST-033</x:v>
      </x:c>
      <x:c r="B38" s="8" t="str">
        <x:v>支援武器</x:v>
      </x:c>
      <x:c r="C38" s="8" t="str">
        <x:v>StA-X3 W.A.S.P.发射器</x:v>
      </x:c>
      <x:c r="D38" s="12" t="n">
        <x:f>'定价参数'!$D$83</x:f>
        <x:v>30000</x:v>
      </x:c>
      <x:c r="E38" s="12" t="n">
        <x:f>ROUND('装备与弹药'!$D$98,2)</x:f>
        <x:v>35000</x:v>
      </x:c>
      <x:c r="F38" s="11" t="n">
        <x:v>0</x:v>
      </x:c>
      <x:c r="G38" s="17" t="n">
        <x:f>SUM(D38:F38)</x:f>
        <x:v>65000</x:v>
      </x:c>
      <x:c r="H38" s="51" t="str">
        <x:v>—</x:v>
      </x:c>
      <x:c r="I38" s="48" t="str">
        <x:v>—</x:v>
      </x:c>
      <x:c r="J38" s="51" t="n">
        <x:v>0</x:v>
      </x:c>
      <x:c r="K38" s="52" t="n">
        <x:f>G38</x:f>
        <x:v>65000</x:v>
      </x:c>
      <x:c r="L38" s="8" t="str">
        <x:v>弹药消耗另记</x:v>
      </x:c>
      <x:c r="M38" s="8" t="str">
        <x:v>可重复使用武器；本体及投送已记，弹药射出/丢弃另记；附属弹药背包不重复收费。</x:v>
      </x:c>
      <x:c r="N38" t="str">
        <x:v>https://helldivers.wiki.gg/wiki/StA-X3_W.A.S.P._Launcher</x:v>
      </x:c>
      <x:c r="O38" t="str">
        <x:v>Wiki原文核对；MOD标准价，事件检测待实测</x:v>
      </x:c>
      <x:c r="P38" t="str">
        <x:v>StA-X3 W.A.S.P. Launcher</x:v>
      </x:c>
      <x:c r="Q38" t="str">
        <x:v>中文Wiki用名</x:v>
      </x:c>
      <x:c r="R38" s="66" t="str">
        <x:v>—</x:v>
      </x:c>
      <x:c r="S38" s="66" t="str">
        <x:v>—</x:v>
      </x:c>
      <x:c r="T38" s="66" t="str">
        <x:v>—</x:v>
      </x:c>
      <x:c r="U38" s="67" t="str">
        <x:v>七发寻的微型导弹发射器，可直接攻击或空爆，附配套背包。 已核对对应装备构造；本体、投送和弹药按现有口径分项。</x:v>
      </x:c>
    </x:row>
    <x:row r="39" ht="72" customHeight="1">
      <x:c r="A39" s="2" t="str">
        <x:v>ST-034</x:v>
      </x:c>
      <x:c r="B39" s="2" t="str">
        <x:v>支援武器</x:v>
      </x:c>
      <x:c r="C39" s="2" t="str">
        <x:v>LAS-98 激光大炮</x:v>
      </x:c>
      <x:c r="D39" s="13" t="n">
        <x:f>'定价参数'!$D$83</x:f>
        <x:v>30000</x:v>
      </x:c>
      <x:c r="E39" s="13" t="n">
        <x:f>ROUND('装备与弹药'!$D$99,2)</x:f>
        <x:v>60000</x:v>
      </x:c>
      <x:c r="F39" s="11" t="n">
        <x:v>0</x:v>
      </x:c>
      <x:c r="G39" s="18" t="n">
        <x:f>SUM(D39:F39)</x:f>
        <x:v>90000</x:v>
      </x:c>
      <x:c r="H39" s="15" t="str">
        <x:v>—</x:v>
      </x:c>
      <x:c r="I39" s="50" t="str">
        <x:v>—</x:v>
      </x:c>
      <x:c r="J39" s="15" t="n">
        <x:v>0</x:v>
      </x:c>
      <x:c r="K39" s="18" t="n">
        <x:f>G39</x:f>
        <x:v>90000</x:v>
      </x:c>
      <x:c r="L39" s="2" t="str">
        <x:v>弹药消耗另记</x:v>
      </x:c>
      <x:c r="M39" s="2" t="str">
        <x:v>可重复使用武器；本体及投送已记，弹药射出/丢弃另记；附属弹药背包不重复收费。</x:v>
      </x:c>
      <x:c r="N39" t="str">
        <x:v>https://helldivers.wiki.gg/wiki/LAS-98_Laser_Cannon</x:v>
      </x:c>
      <x:c r="O39" t="str">
        <x:v>Wiki原文核对；MOD标准价，事件检测待实测</x:v>
      </x:c>
      <x:c r="P39" t="str">
        <x:v>LAS-98 Laser Cannon</x:v>
      </x:c>
      <x:c r="Q39" t="str">
        <x:v>中文Wiki用名</x:v>
      </x:c>
      <x:c r="R39" s="65" t="str">
        <x:v>—</x:v>
      </x:c>
      <x:c r="S39" s="65" t="str">
        <x:v>—</x:v>
      </x:c>
      <x:c r="T39" s="65" t="str">
        <x:v>—</x:v>
      </x:c>
      <x:c r="U39" s="64" t="str">
        <x:v>持续激光光束武器，过热后需要更换散热器。 已核对对应装备构造；本体、投送和弹药按现有口径分项。</x:v>
      </x:c>
    </x:row>
    <x:row r="40" ht="72" customHeight="1">
      <x:c r="A40" s="8" t="str">
        <x:v>ST-035</x:v>
      </x:c>
      <x:c r="B40" s="8" t="str">
        <x:v>支援武器</x:v>
      </x:c>
      <x:c r="C40" s="8" t="str">
        <x:v>GL-21 榴弹发射器</x:v>
      </x:c>
      <x:c r="D40" s="12" t="n">
        <x:f>'定价参数'!$D$83</x:f>
        <x:v>30000</x:v>
      </x:c>
      <x:c r="E40" s="12" t="n">
        <x:f>ROUND('装备与弹药'!$D$100,2)</x:f>
        <x:v>12000</x:v>
      </x:c>
      <x:c r="F40" s="11" t="n">
        <x:v>0</x:v>
      </x:c>
      <x:c r="G40" s="17" t="n">
        <x:f>SUM(D40:F40)</x:f>
        <x:v>42000</x:v>
      </x:c>
      <x:c r="H40" s="51" t="str">
        <x:v>—</x:v>
      </x:c>
      <x:c r="I40" s="48" t="str">
        <x:v>—</x:v>
      </x:c>
      <x:c r="J40" s="51" t="n">
        <x:v>0</x:v>
      </x:c>
      <x:c r="K40" s="52" t="n">
        <x:f>G40</x:f>
        <x:v>42000</x:v>
      </x:c>
      <x:c r="L40" s="8" t="str">
        <x:v>弹药消耗另记</x:v>
      </x:c>
      <x:c r="M40" s="8" t="str">
        <x:v>可重复使用武器；本体及投送已记，弹药射出/丢弃另记；附属弹药背包不重复收费。</x:v>
      </x:c>
      <x:c r="N40" t="str">
        <x:v>https://helldivers.wiki.gg/wiki/GL-21_Grenade_Launcher</x:v>
      </x:c>
      <x:c r="O40" t="str">
        <x:v>Wiki原文核对；MOD标准价，事件检测待实测</x:v>
      </x:c>
      <x:c r="P40" t="str">
        <x:v>GL-21 Grenade Launcher</x:v>
      </x:c>
      <x:c r="Q40" t="str">
        <x:v>中文Wiki用名</x:v>
      </x:c>
      <x:c r="R40" s="66" t="str">
        <x:v>—</x:v>
      </x:c>
      <x:c r="S40" s="66" t="str">
        <x:v>—</x:v>
      </x:c>
      <x:c r="T40" s="66" t="str">
        <x:v>—</x:v>
      </x:c>
      <x:c r="U40" s="67" t="str">
        <x:v>对付装甲步兵的榴弹发射器，非专用反坦克武器。 已核对对应装备构造；本体、投送和弹药按现有口径分项。</x:v>
      </x:c>
    </x:row>
    <x:row r="41" ht="72" customHeight="1">
      <x:c r="A41" s="2" t="str">
        <x:v>ST-036</x:v>
      </x:c>
      <x:c r="B41" s="2" t="str">
        <x:v>支援武器</x:v>
      </x:c>
      <x:c r="C41" s="2" t="str">
        <x:v>ARC-3 电弧发射器</x:v>
      </x:c>
      <x:c r="D41" s="13" t="n">
        <x:f>'定价参数'!$D$83</x:f>
        <x:v>30000</x:v>
      </x:c>
      <x:c r="E41" s="13" t="n">
        <x:f>ROUND('装备与弹药'!$D$101,2)</x:f>
        <x:v>30000</x:v>
      </x:c>
      <x:c r="F41" s="11" t="n">
        <x:v>0</x:v>
      </x:c>
      <x:c r="G41" s="18" t="n">
        <x:f>SUM(D41:F41)</x:f>
        <x:v>60000</x:v>
      </x:c>
      <x:c r="H41" s="15" t="str">
        <x:v>—</x:v>
      </x:c>
      <x:c r="I41" s="50" t="str">
        <x:v>—</x:v>
      </x:c>
      <x:c r="J41" s="15" t="n">
        <x:v>0</x:v>
      </x:c>
      <x:c r="K41" s="18" t="n">
        <x:f>G41</x:f>
        <x:v>60000</x:v>
      </x:c>
      <x:c r="L41" s="2" t="str">
        <x:v>弹药消耗另记</x:v>
      </x:c>
      <x:c r="M41" s="2" t="str">
        <x:v>可重复使用武器；本体及投送已记，弹药射出/丢弃另记；附属弹药背包不重复收费。</x:v>
      </x:c>
      <x:c r="N41" t="str">
        <x:v>https://helldivers.wiki.gg/wiki/ARC-3_Arc_Thrower</x:v>
      </x:c>
      <x:c r="O41" t="str">
        <x:v>Wiki原文核对；MOD标准价，事件检测待实测</x:v>
      </x:c>
      <x:c r="P41" t="str">
        <x:v>ARC-3 Arc Thrower</x:v>
      </x:c>
      <x:c r="Q41" t="str">
        <x:v>中文Wiki用名</x:v>
      </x:c>
      <x:c r="R41" s="65" t="str">
        <x:v>—</x:v>
      </x:c>
      <x:c r="S41" s="65" t="str">
        <x:v>—</x:v>
      </x:c>
      <x:c r="T41" s="65" t="str">
        <x:v>—</x:v>
      </x:c>
      <x:c r="U41" s="64" t="str">
        <x:v>蓄力释放可串联多个目标的高压电弧。 已核对对应装备构造；本体、投送和弹药按现有口径分项。</x:v>
      </x:c>
    </x:row>
    <x:row r="42" ht="72" customHeight="1">
      <x:c r="A42" s="8" t="str">
        <x:v>ST-037</x:v>
      </x:c>
      <x:c r="B42" s="8" t="str">
        <x:v>支援武器</x:v>
      </x:c>
      <x:c r="C42" s="8" t="str">
        <x:v>LAS-99 类星体加农炮</x:v>
      </x:c>
      <x:c r="D42" s="12" t="n">
        <x:f>'定价参数'!$D$83</x:f>
        <x:v>30000</x:v>
      </x:c>
      <x:c r="E42" s="12" t="n">
        <x:f>ROUND('装备与弹药'!$D$102,2)</x:f>
        <x:v>80000</x:v>
      </x:c>
      <x:c r="F42" s="11" t="n">
        <x:v>0</x:v>
      </x:c>
      <x:c r="G42" s="17" t="n">
        <x:f>SUM(D42:F42)</x:f>
        <x:v>110000</x:v>
      </x:c>
      <x:c r="H42" s="51" t="str">
        <x:v>—</x:v>
      </x:c>
      <x:c r="I42" s="48" t="str">
        <x:v>—</x:v>
      </x:c>
      <x:c r="J42" s="51" t="n">
        <x:v>0</x:v>
      </x:c>
      <x:c r="K42" s="52" t="n">
        <x:f>G42</x:f>
        <x:v>110000</x:v>
      </x:c>
      <x:c r="L42" s="8" t="str">
        <x:v>弹药消耗另记</x:v>
      </x:c>
      <x:c r="M42" s="8" t="str">
        <x:v>可重复使用武器；本体及投送已记，弹药射出/丢弃另记；附属弹药背包不重复收费。</x:v>
      </x:c>
      <x:c r="N42" t="str">
        <x:v>https://helldivers.wiki.gg/wiki/LAS-99_Quasar_Cannon</x:v>
      </x:c>
      <x:c r="O42" t="str">
        <x:v>Wiki原文核对；MOD标准价，事件检测待实测</x:v>
      </x:c>
      <x:c r="P42" t="str">
        <x:v>LAS-99 Quasar Cannon</x:v>
      </x:c>
      <x:c r="Q42" t="str">
        <x:v>中文Wiki用名</x:v>
      </x:c>
      <x:c r="R42" s="66" t="str">
        <x:v>—</x:v>
      </x:c>
      <x:c r="S42" s="66" t="str">
        <x:v>—</x:v>
      </x:c>
      <x:c r="T42" s="66" t="str">
        <x:v>—</x:v>
      </x:c>
      <x:c r="U42" s="67" t="str">
        <x:v>蓄力后释放强力爆炸能量，使用后需较长冷却。 已核对对应装备构造；本体、投送和弹药按现有口径分项。</x:v>
      </x:c>
    </x:row>
    <x:row r="43" ht="72" customHeight="1">
      <x:c r="A43" s="2" t="str">
        <x:v>ST-038</x:v>
      </x:c>
      <x:c r="B43" s="2" t="str">
        <x:v>支援武器</x:v>
      </x:c>
      <x:c r="C43" s="2" t="str">
        <x:v>TX-41 灭菌器</x:v>
      </x:c>
      <x:c r="D43" s="13" t="n">
        <x:f>'定价参数'!$D$83</x:f>
        <x:v>30000</x:v>
      </x:c>
      <x:c r="E43" s="13" t="n">
        <x:f>ROUND('装备与弹药'!$D$105,2)</x:f>
        <x:v>5000</x:v>
      </x:c>
      <x:c r="F43" s="11" t="n">
        <x:v>0</x:v>
      </x:c>
      <x:c r="G43" s="18" t="n">
        <x:f>SUM(D43:F43)</x:f>
        <x:v>35000</x:v>
      </x:c>
      <x:c r="H43" s="15" t="str">
        <x:v>—</x:v>
      </x:c>
      <x:c r="I43" s="50" t="str">
        <x:v>—</x:v>
      </x:c>
      <x:c r="J43" s="15" t="n">
        <x:v>0</x:v>
      </x:c>
      <x:c r="K43" s="18" t="n">
        <x:f>G43</x:f>
        <x:v>35000</x:v>
      </x:c>
      <x:c r="L43" s="2" t="str">
        <x:v>弹药消耗另记</x:v>
      </x:c>
      <x:c r="M43" s="2" t="str">
        <x:v>可重复使用武器；本体及投送已记，弹药射出/丢弃另记；附属弹药背包不重复收费。</x:v>
      </x:c>
      <x:c r="N43" t="str">
        <x:v>https://helldivers.wiki.gg/wiki/TX-41_Sterilizer</x:v>
      </x:c>
      <x:c r="O43" t="str">
        <x:v>Wiki原文核对；MOD标准价，事件检测待实测</x:v>
      </x:c>
      <x:c r="P43" t="str">
        <x:v>TX-41 Sterilizer</x:v>
      </x:c>
      <x:c r="Q43" t="str">
        <x:v>中文Wiki用名</x:v>
      </x:c>
      <x:c r="R43" s="65" t="str">
        <x:v>—</x:v>
      </x:c>
      <x:c r="S43" s="65" t="str">
        <x:v>—</x:v>
      </x:c>
      <x:c r="T43" s="65" t="str">
        <x:v>—</x:v>
      </x:c>
      <x:c r="U43" s="64" t="str">
        <x:v>把腐蚀性化学药剂雾化，可损伤组织与电子设备并致盲。 已核对对应装备构造；本体、投送和弹药按现有口径分项。</x:v>
      </x:c>
    </x:row>
    <x:row r="44" ht="72" customHeight="1">
      <x:c r="A44" s="8" t="str">
        <x:v>ST-039</x:v>
      </x:c>
      <x:c r="B44" s="8" t="str">
        <x:v>支援武器</x:v>
      </x:c>
      <x:c r="C44" s="8" t="str">
        <x:v>CQC-1 唯一真旗</x:v>
      </x:c>
      <x:c r="D44" s="12" t="n">
        <x:f>'定价参数'!$D$83</x:f>
        <x:v>30000</x:v>
      </x:c>
      <x:c r="E44" s="12" t="n">
        <x:f>ROUND('装备与弹药'!$D$106,2)</x:f>
        <x:v>450</x:v>
      </x:c>
      <x:c r="F44" s="11" t="n">
        <x:v>0</x:v>
      </x:c>
      <x:c r="G44" s="17" t="n">
        <x:f>SUM(D44:F44)</x:f>
        <x:v>30450</x:v>
      </x:c>
      <x:c r="H44" s="51" t="str">
        <x:v>—</x:v>
      </x:c>
      <x:c r="I44" s="48" t="str">
        <x:v>—</x:v>
      </x:c>
      <x:c r="J44" s="51" t="n">
        <x:v>0</x:v>
      </x:c>
      <x:c r="K44" s="52" t="n">
        <x:f>G44</x:f>
        <x:v>30450</x:v>
      </x:c>
      <x:c r="L44" s="8" t="str">
        <x:v>整件装备包干；无动作费用</x:v>
      </x:c>
      <x:c r="M44" s="8" t="str">
        <x:v>实际交付新件收平台费及整件装备价；挥动、燃料、供电、锤装药及任务内近战保障不另记。与原有近战物品互换不再次收费。</x:v>
      </x:c>
      <x:c r="N44" t="str">
        <x:v>https://helldivers.wiki.gg/wiki/CQC-1_One_True_Flag</x:v>
      </x:c>
      <x:c r="O44" t="str">
        <x:v>Wiki原文核对；MOD标准价，事件检测待实测</x:v>
      </x:c>
      <x:c r="P44" t="str">
        <x:v>CQC-1 One True Flag</x:v>
      </x:c>
      <x:c r="Q44" t="str">
        <x:v>中文Wiki用名</x:v>
      </x:c>
      <x:c r="R44" s="66" t="str">
        <x:v>—</x:v>
      </x:c>
      <x:c r="S44" s="66" t="str">
        <x:v>—</x:v>
      </x:c>
      <x:c r="T44" s="66" t="str">
        <x:v>—</x:v>
      </x:c>
      <x:c r="U44" s="67" t="str">
        <x:v>超级地球旗帜及旗杆构成的近战武器，持旗者会吸引敌人优先攻击。 已核对对应装备构造；本体、投送和弹药按现有口径分项。</x:v>
      </x:c>
    </x:row>
    <x:row r="45" ht="72" customHeight="1">
      <x:c r="A45" s="2" t="str">
        <x:v>ST-040</x:v>
      </x:c>
      <x:c r="B45" s="2" t="str">
        <x:v>支援武器</x:v>
      </x:c>
      <x:c r="C45" s="2" t="str">
        <x:v>GL-52 降级者</x:v>
      </x:c>
      <x:c r="D45" s="13" t="n">
        <x:f>'定价参数'!$D$83</x:f>
        <x:v>30000</x:v>
      </x:c>
      <x:c r="E45" s="13" t="n">
        <x:f>ROUND('装备与弹药'!$D$107,2)</x:f>
        <x:v>14400</x:v>
      </x:c>
      <x:c r="F45" s="11" t="n">
        <x:v>0</x:v>
      </x:c>
      <x:c r="G45" s="18" t="n">
        <x:f>SUM(D45:F45)</x:f>
        <x:v>44400</x:v>
      </x:c>
      <x:c r="H45" s="15" t="str">
        <x:v>—</x:v>
      </x:c>
      <x:c r="I45" s="50" t="str">
        <x:v>—</x:v>
      </x:c>
      <x:c r="J45" s="15" t="n">
        <x:v>0</x:v>
      </x:c>
      <x:c r="K45" s="18" t="n">
        <x:f>G45</x:f>
        <x:v>44400</x:v>
      </x:c>
      <x:c r="L45" s="2" t="str">
        <x:v>弹药消耗另记</x:v>
      </x:c>
      <x:c r="M45" s="2" t="str">
        <x:v>可重复使用武器；本体及投送已记，弹药射出/丢弃另记；附属弹药背包不重复收费。</x:v>
      </x:c>
      <x:c r="N45" t="str">
        <x:v>https://helldivers.wiki.gg/wiki/GL-52_De-Escalator</x:v>
      </x:c>
      <x:c r="O45" t="str">
        <x:v>Wiki原文核对；MOD标准价，事件检测待实测</x:v>
      </x:c>
      <x:c r="P45" t="str">
        <x:v>GL-52 De-Escalator</x:v>
      </x:c>
      <x:c r="Q45" t="str">
        <x:v>参考译名</x:v>
      </x:c>
      <x:c r="R45" s="65" t="str">
        <x:v>—</x:v>
      </x:c>
      <x:c r="S45" s="65" t="str">
        <x:v>—</x:v>
      </x:c>
      <x:c r="T45" s="65" t="str">
        <x:v>—</x:v>
      </x:c>
      <x:c r="U45" s="64" t="str">
        <x:v>发射高功率电弧榴弹的发射器。 已核对对应装备构造；本体、投送和弹药按现有口径分项。</x:v>
      </x:c>
    </x:row>
    <x:row r="46" ht="72" customHeight="1">
      <x:c r="A46" s="8" t="str">
        <x:v>ST-041</x:v>
      </x:c>
      <x:c r="B46" s="8" t="str">
        <x:v>支援武器</x:v>
      </x:c>
      <x:c r="C46" s="8" t="str">
        <x:v>PLAS-45 纪元</x:v>
      </x:c>
      <x:c r="D46" s="12" t="n">
        <x:f>'定价参数'!$D$83</x:f>
        <x:v>30000</x:v>
      </x:c>
      <x:c r="E46" s="12" t="n">
        <x:f>ROUND('装备与弹药'!$D$108,2)</x:f>
        <x:v>60000</x:v>
      </x:c>
      <x:c r="F46" s="11" t="n">
        <x:v>0</x:v>
      </x:c>
      <x:c r="G46" s="17" t="n">
        <x:f>SUM(D46:F46)</x:f>
        <x:v>90000</x:v>
      </x:c>
      <x:c r="H46" s="51" t="str">
        <x:v>—</x:v>
      </x:c>
      <x:c r="I46" s="48" t="str">
        <x:v>—</x:v>
      </x:c>
      <x:c r="J46" s="51" t="n">
        <x:v>0</x:v>
      </x:c>
      <x:c r="K46" s="52" t="n">
        <x:f>G46</x:f>
        <x:v>90000</x:v>
      </x:c>
      <x:c r="L46" s="8" t="str">
        <x:v>弹药消耗另记</x:v>
      </x:c>
      <x:c r="M46" s="8" t="str">
        <x:v>可重复使用武器；本体及投送已记，弹药射出/丢弃另记；附属弹药背包不重复收费。</x:v>
      </x:c>
      <x:c r="N46" t="str">
        <x:v>https://helldivers.wiki.gg/wiki/PLAS-45_Epoch</x:v>
      </x:c>
      <x:c r="O46" t="str">
        <x:v>Wiki原文核对；MOD标准价，事件检测待实测</x:v>
      </x:c>
      <x:c r="P46" t="str">
        <x:v>PLAS-45 Epoch</x:v>
      </x:c>
      <x:c r="Q46" t="str">
        <x:v>参考译名</x:v>
      </x:c>
      <x:c r="R46" s="66" t="str">
        <x:v>—</x:v>
      </x:c>
      <x:c r="S46" s="66" t="str">
        <x:v>—</x:v>
      </x:c>
      <x:c r="T46" s="66" t="str">
        <x:v>—</x:v>
      </x:c>
      <x:c r="U46" s="67" t="str">
        <x:v>高功率蓄力等离子武器，单次释放命中爆炸，不能过度蓄力。 已核对对应装备构造；本体、投送和弹药按现有口径分项。</x:v>
      </x:c>
    </x:row>
    <x:row r="47" ht="72" customHeight="1">
      <x:c r="A47" s="2" t="str">
        <x:v>ST-042</x:v>
      </x:c>
      <x:c r="B47" s="2" t="str">
        <x:v>支援武器</x:v>
      </x:c>
      <x:c r="C47" s="2" t="str">
        <x:v>S-11 矛枪</x:v>
      </x:c>
      <x:c r="D47" s="13" t="n">
        <x:f>'定价参数'!$D$83</x:f>
        <x:v>30000</x:v>
      </x:c>
      <x:c r="E47" s="13" t="n">
        <x:f>ROUND('装备与弹药'!$D$109,2)</x:f>
        <x:v>2000</x:v>
      </x:c>
      <x:c r="F47" s="11" t="n">
        <x:v>0</x:v>
      </x:c>
      <x:c r="G47" s="18" t="n">
        <x:f>SUM(D47:F47)</x:f>
        <x:v>32000</x:v>
      </x:c>
      <x:c r="H47" s="15" t="str">
        <x:v>—</x:v>
      </x:c>
      <x:c r="I47" s="50" t="str">
        <x:v>—</x:v>
      </x:c>
      <x:c r="J47" s="15" t="n">
        <x:v>0</x:v>
      </x:c>
      <x:c r="K47" s="18" t="n">
        <x:f>G47</x:f>
        <x:v>32000</x:v>
      </x:c>
      <x:c r="L47" s="2" t="str">
        <x:v>弹药消耗另记</x:v>
      </x:c>
      <x:c r="M47" s="2" t="str">
        <x:v>可重复使用武器；本体及投送已记，弹药射出/丢弃另记；附属弹药背包不重复收费。</x:v>
      </x:c>
      <x:c r="N47" t="str">
        <x:v>https://helldivers.wiki.gg/wiki/S-11_Speargun</x:v>
      </x:c>
      <x:c r="O47" t="str">
        <x:v>Wiki原文核对；MOD标准价，事件检测待实测</x:v>
      </x:c>
      <x:c r="P47" t="str">
        <x:v>S-11 Speargun</x:v>
      </x:c>
      <x:c r="Q47" t="str">
        <x:v>参考译名</x:v>
      </x:c>
      <x:c r="R47" s="65" t="str">
        <x:v>—</x:v>
      </x:c>
      <x:c r="S47" s="65" t="str">
        <x:v>—</x:v>
      </x:c>
      <x:c r="T47" s="65" t="str">
        <x:v>—</x:v>
      </x:c>
      <x:c r="U47" s="64" t="str">
        <x:v>逐支装填重型长矛，命中时释放毒气。 已核对对应装备构造；本体、投送和弹药按现有口径分项。</x:v>
      </x:c>
    </x:row>
    <x:row r="48" ht="72" customHeight="1">
      <x:c r="A48" s="8" t="str">
        <x:v>ST-043</x:v>
      </x:c>
      <x:c r="B48" s="8" t="str">
        <x:v>支援武器</x:v>
      </x:c>
      <x:c r="C48" s="8" t="str">
        <x:v>EAT-700 消耗性凝固汽油弹</x:v>
      </x:c>
      <x:c r="D48" s="12" t="n">
        <x:f>'定价参数'!$D$83</x:f>
        <x:v>30000</x:v>
      </x:c>
      <x:c r="E48" s="12" t="n">
        <x:f>ROUND('装备与弹药'!D110*2,2)</x:f>
        <x:v>400</x:v>
      </x:c>
      <x:c r="F48" s="11" t="n">
        <x:f>ROUND('装备与弹药'!F110*2*1,2)</x:f>
        <x:v>9000</x:v>
      </x:c>
      <x:c r="G48" s="17" t="n">
        <x:f>SUM(D48:F48)</x:f>
        <x:v>39400</x:v>
      </x:c>
      <x:c r="H48" s="51" t="str">
        <x:v>—</x:v>
      </x:c>
      <x:c r="I48" s="48" t="str">
        <x:v>—</x:v>
      </x:c>
      <x:c r="J48" s="51" t="n">
        <x:v>0</x:v>
      </x:c>
      <x:c r="K48" s="52" t="n">
        <x:f>G48</x:f>
        <x:v>39400</x:v>
      </x:c>
      <x:c r="L48" s="8" t="str">
        <x:v>整次包干</x:v>
      </x:c>
      <x:c r="M48" s="8" t="str">
        <x:v>一次投送2具，共2发；本体和这些弹药已全包，实际发射不再收弹费。</x:v>
      </x:c>
      <x:c r="N48" t="str">
        <x:v>https://helldivers.wiki.gg/wiki/EAT-700_Expendable_Napalm</x:v>
      </x:c>
      <x:c r="O48" t="str">
        <x:v>Wiki原文核对；MOD标准价，事件检测待实测</x:v>
      </x:c>
      <x:c r="P48" t="str">
        <x:v>EAT-700 Expendable Napalm</x:v>
      </x:c>
      <x:c r="Q48" t="str">
        <x:v>参考译名</x:v>
      </x:c>
      <x:c r="R48" s="66" t="str">
        <x:v>—</x:v>
      </x:c>
      <x:c r="S48" s="66" t="str">
        <x:v>—</x:v>
      </x:c>
      <x:c r="T48" s="66" t="str">
        <x:v>—</x:v>
      </x:c>
      <x:c r="U48" s="67" t="str">
        <x:v>一次性发射凝固汽油集束导弹，每次投送两具。 已核对对应装备构造；本体、投送和弹药按现有口径分项。</x:v>
      </x:c>
    </x:row>
    <x:row r="49" ht="72" customHeight="1">
      <x:c r="A49" s="2" t="str">
        <x:v>ST-044</x:v>
      </x:c>
      <x:c r="B49" s="2" t="str">
        <x:v>支援武器</x:v>
      </x:c>
      <x:c r="C49" s="2" t="str">
        <x:v>MS-11 单兵导弹发射井</x:v>
      </x:c>
      <x:c r="D49" s="13" t="n">
        <x:f>'定价参数'!$D$83</x:f>
        <x:v>30000</x:v>
      </x:c>
      <x:c r="E49" s="13" t="n">
        <x:f>ROUND('装备与弹药'!$D$111,2)</x:f>
        <x:v>25000</x:v>
      </x:c>
      <x:c r="F49" s="11" t="n">
        <x:v>0</x:v>
      </x:c>
      <x:c r="G49" s="18" t="n">
        <x:f>SUM(D49:F49)</x:f>
        <x:v>55000</x:v>
      </x:c>
      <x:c r="H49" s="15" t="str">
        <x:v>—</x:v>
      </x:c>
      <x:c r="I49" s="50" t="str">
        <x:v>—</x:v>
      </x:c>
      <x:c r="J49" s="15" t="n">
        <x:v>0</x:v>
      </x:c>
      <x:c r="K49" s="18" t="n">
        <x:f>G49</x:f>
        <x:v>55000</x:v>
      </x:c>
      <x:c r="L49" s="2" t="str">
        <x:v>弹药消耗另记</x:v>
      </x:c>
      <x:c r="M49" s="2" t="str">
        <x:v>可重复使用武器；本体及投送已记，弹药射出/丢弃另记；附属弹药背包不重复收费。</x:v>
      </x:c>
      <x:c r="N49" t="str">
        <x:v>https://helldivers.wiki.gg/wiki/MS-11_Solo_Silo</x:v>
      </x:c>
      <x:c r="O49" t="str">
        <x:v>Wiki原文核对；MOD标准价，事件检测待实测</x:v>
      </x:c>
      <x:c r="P49" t="str">
        <x:v>MS-11 Solo Silo</x:v>
      </x:c>
      <x:c r="Q49" t="str">
        <x:v>中文Wiki用名</x:v>
      </x:c>
      <x:c r="R49" s="65" t="str">
        <x:v>—</x:v>
      </x:c>
      <x:c r="S49" s="65" t="str">
        <x:v>—</x:v>
      </x:c>
      <x:c r="T49" s="65" t="str">
        <x:v>—</x:v>
      </x:c>
      <x:c r="U49" s="64" t="str">
        <x:v>单发强力导弹发射井，配手持目标遥控器。 已核对对应装备构造；本体、投送和弹药按现有口径分项。</x:v>
      </x:c>
    </x:row>
    <x:row r="50" ht="72" customHeight="1">
      <x:c r="A50" s="8" t="str">
        <x:v>ST-045</x:v>
      </x:c>
      <x:c r="B50" s="8" t="str">
        <x:v>支援武器</x:v>
      </x:c>
      <x:c r="C50" s="8" t="str">
        <x:v>CQC-9 除叶工具</x:v>
      </x:c>
      <x:c r="D50" s="12" t="n">
        <x:f>'定价参数'!$D$83</x:f>
        <x:v>30000</x:v>
      </x:c>
      <x:c r="E50" s="12" t="n">
        <x:f>ROUND('装备与弹药'!$D$112,2)</x:f>
        <x:v>1200</x:v>
      </x:c>
      <x:c r="F50" s="11" t="n">
        <x:v>0</x:v>
      </x:c>
      <x:c r="G50" s="17" t="n">
        <x:f>SUM(D50:F50)</x:f>
        <x:v>31200</x:v>
      </x:c>
      <x:c r="H50" s="51" t="str">
        <x:v>—</x:v>
      </x:c>
      <x:c r="I50" s="48" t="str">
        <x:v>—</x:v>
      </x:c>
      <x:c r="J50" s="51" t="n">
        <x:v>0</x:v>
      </x:c>
      <x:c r="K50" s="52" t="n">
        <x:f>G50</x:f>
        <x:v>31200</x:v>
      </x:c>
      <x:c r="L50" s="8" t="str">
        <x:v>整件装备包干；无动作费用</x:v>
      </x:c>
      <x:c r="M50" s="8" t="str">
        <x:v>实际交付新件收平台费及整件装备价；挥动、燃料、供电、锤装药及任务内近战保障不另记。与原有近战物品互换不再次收费。</x:v>
      </x:c>
      <x:c r="N50" t="str">
        <x:v>https://helldivers.wiki.gg/wiki/CQC-9_Defoliation_Tool</x:v>
      </x:c>
      <x:c r="O50" t="str">
        <x:v>Wiki原文核对；MOD标准价，事件检测待实测</x:v>
      </x:c>
      <x:c r="P50" t="str">
        <x:v>CQC-9 Defoliation Tool</x:v>
      </x:c>
      <x:c r="Q50" t="str">
        <x:v>参考译名</x:v>
      </x:c>
      <x:c r="R50" s="66" t="str">
        <x:v>—</x:v>
      </x:c>
      <x:c r="S50" s="66" t="str">
        <x:v>—</x:v>
      </x:c>
      <x:c r="T50" s="66" t="str">
        <x:v>—</x:v>
      </x:c>
      <x:c r="U50" s="67" t="str">
        <x:v>用于清除树木与障碍的动力锯形近战工具，可持续接触切割。 已核对对应装备构造；本体、投送和弹药按现有口径分项。</x:v>
      </x:c>
    </x:row>
    <x:row r="51" ht="72" customHeight="1">
      <x:c r="A51" s="2" t="str">
        <x:v>ST-046</x:v>
      </x:c>
      <x:c r="B51" s="2" t="str">
        <x:v>支援武器</x:v>
      </x:c>
      <x:c r="C51" s="2" t="str">
        <x:v>M-1000 重装机枪</x:v>
      </x:c>
      <x:c r="D51" s="13" t="n">
        <x:f>'定价参数'!$D$83</x:f>
        <x:v>30000</x:v>
      </x:c>
      <x:c r="E51" s="13" t="n">
        <x:f>ROUND('装备与弹药'!$D$113,2)</x:f>
        <x:v>40000</x:v>
      </x:c>
      <x:c r="F51" s="11" t="n">
        <x:v>0</x:v>
      </x:c>
      <x:c r="G51" s="18" t="n">
        <x:f>SUM(D51:F51)</x:f>
        <x:v>70000</x:v>
      </x:c>
      <x:c r="H51" s="15" t="str">
        <x:v>—</x:v>
      </x:c>
      <x:c r="I51" s="50" t="str">
        <x:v>—</x:v>
      </x:c>
      <x:c r="J51" s="15" t="n">
        <x:v>0</x:v>
      </x:c>
      <x:c r="K51" s="18" t="n">
        <x:f>G51</x:f>
        <x:v>70000</x:v>
      </x:c>
      <x:c r="L51" s="2" t="str">
        <x:v>弹药消耗另记</x:v>
      </x:c>
      <x:c r="M51" s="2" t="str">
        <x:v>可重复使用武器；本体及投送已记，弹药射出/丢弃另记；附属弹药背包不重复收费。</x:v>
      </x:c>
      <x:c r="N51" t="str">
        <x:v>https://helldivers.wiki.gg/wiki/M-1000_Maxigun</x:v>
      </x:c>
      <x:c r="O51" t="str">
        <x:v>Wiki原文核对；MOD标准价，事件检测待实测</x:v>
      </x:c>
      <x:c r="P51" t="str">
        <x:v>M-1000 Maxigun</x:v>
      </x:c>
      <x:c r="Q51" t="str">
        <x:v>中文Wiki用名</x:v>
      </x:c>
      <x:c r="R51" s="65" t="str">
        <x:v>—</x:v>
      </x:c>
      <x:c r="S51" s="65" t="str">
        <x:v>—</x:v>
      </x:c>
      <x:c r="T51" s="65" t="str">
        <x:v>—</x:v>
      </x:c>
      <x:c r="U51" s="64" t="str">
        <x:v>弹链供弹的高容量转管机枪，附弹药背包，不能用普通非弹链弹药装填。 已核对对应装备构造；本体、投送和弹药按现有口径分项。</x:v>
      </x:c>
    </x:row>
    <x:row r="52" ht="72" customHeight="1">
      <x:c r="A52" s="8" t="str">
        <x:v>ST-047</x:v>
      </x:c>
      <x:c r="B52" s="8" t="str">
        <x:v>支援武器</x:v>
      </x:c>
      <x:c r="C52" s="8" t="str">
        <x:v>B/MD C4背包</x:v>
      </x:c>
      <x:c r="D52" s="12" t="n">
        <x:f>'定价参数'!$D$83</x:f>
        <x:v>30000</x:v>
      </x:c>
      <x:c r="E52" s="12" t="n">
        <x:f>ROUND('装备与弹药'!$D$114,2)</x:f>
        <x:v>500</x:v>
      </x:c>
      <x:c r="F52" s="11" t="n">
        <x:v>0</x:v>
      </x:c>
      <x:c r="G52" s="17" t="n">
        <x:f>SUM(D52:F52)</x:f>
        <x:v>30500</x:v>
      </x:c>
      <x:c r="H52" s="51" t="str">
        <x:v>—</x:v>
      </x:c>
      <x:c r="I52" s="48" t="str">
        <x:v>—</x:v>
      </x:c>
      <x:c r="J52" s="51" t="n">
        <x:v>0</x:v>
      </x:c>
      <x:c r="K52" s="52" t="n">
        <x:f>G52</x:f>
        <x:v>30500</x:v>
      </x:c>
      <x:c r="L52" s="8" t="str">
        <x:v>弹药消耗另记</x:v>
      </x:c>
      <x:c r="M52" s="8" t="str">
        <x:v>可重复使用武器；本体及投送已记，弹药射出/丢弃另记；附属弹药背包不重复收费。</x:v>
      </x:c>
      <x:c r="N52" t="str">
        <x:v>https://helldivers.wiki.gg/wiki/B/MD_C4_Pack</x:v>
      </x:c>
      <x:c r="O52" t="str">
        <x:v>Wiki原文核对；MOD标准价，事件检测待实测</x:v>
      </x:c>
      <x:c r="P52" t="str">
        <x:v>B/MD C4 Pack</x:v>
      </x:c>
      <x:c r="Q52" t="str">
        <x:v>中文Wiki用名</x:v>
      </x:c>
      <x:c r="R52" s="66" t="str">
        <x:v>—</x:v>
      </x:c>
      <x:c r="S52" s="66" t="str">
        <x:v>—</x:v>
      </x:c>
      <x:c r="T52" s="66" t="str">
        <x:v>—</x:v>
      </x:c>
      <x:c r="U52" s="67" t="str">
        <x:v>六枚粘附C4与无线引爆器组成的支援包，可分次或同时引爆。 已核对对应装备构造；本体、投送和弹药按现有口径分项。</x:v>
      </x:c>
    </x:row>
    <x:row r="53" ht="72" customHeight="1">
      <x:c r="A53" s="2" t="str">
        <x:v>ST-048</x:v>
      </x:c>
      <x:c r="B53" s="2" t="str">
        <x:v>支援武器</x:v>
      </x:c>
      <x:c r="C53" s="2" t="str">
        <x:v>CQC-20 破门锤</x:v>
      </x:c>
      <x:c r="D53" s="13" t="n">
        <x:f>'定价参数'!$D$83</x:f>
        <x:v>30000</x:v>
      </x:c>
      <x:c r="E53" s="13" t="n">
        <x:f>ROUND('装备与弹药'!$D$115,2)</x:f>
        <x:v>4800</x:v>
      </x:c>
      <x:c r="F53" s="11" t="n">
        <x:v>0</x:v>
      </x:c>
      <x:c r="G53" s="18" t="n">
        <x:f>SUM(D53:F53)</x:f>
        <x:v>34800</x:v>
      </x:c>
      <x:c r="H53" s="15" t="str">
        <x:v>—</x:v>
      </x:c>
      <x:c r="I53" s="50" t="str">
        <x:v>—</x:v>
      </x:c>
      <x:c r="J53" s="15" t="n">
        <x:v>0</x:v>
      </x:c>
      <x:c r="K53" s="18" t="n">
        <x:f>G53</x:f>
        <x:v>34800</x:v>
      </x:c>
      <x:c r="L53" s="2" t="str">
        <x:v>整件装备包干；无动作费用</x:v>
      </x:c>
      <x:c r="M53" s="2" t="str">
        <x:v>实际交付新件收平台费及整件装备价；挥动、燃料、供电、锤装药及任务内近战保障不另记。与原有近战物品互换不再次收费。</x:v>
      </x:c>
      <x:c r="N53" t="str">
        <x:v>https://helldivers.wiki.gg/wiki/CQC-20_Breaching_Hammer</x:v>
      </x:c>
      <x:c r="O53" t="str">
        <x:v>Wiki原文核对；MOD标准价，事件检测待实测</x:v>
      </x:c>
      <x:c r="P53" t="str">
        <x:v>CQC-20 Breaching Hammer</x:v>
      </x:c>
      <x:c r="Q53" t="str">
        <x:v>中文Wiki用名</x:v>
      </x:c>
      <x:c r="R53" s="65" t="str">
        <x:v>—</x:v>
      </x:c>
      <x:c r="S53" s="65" t="str">
        <x:v>—</x:v>
      </x:c>
      <x:c r="T53" s="65" t="str">
        <x:v>—</x:v>
      </x:c>
      <x:c r="U53" s="64" t="str">
        <x:v>可在锤头装炸药的双手大锤；通常一份待用加七份备用装药。 已核对对应装备构造；本体、投送和弹药按现有口径分项。</x:v>
      </x:c>
    </x:row>
    <x:row r="54" ht="72" customHeight="1">
      <x:c r="A54" s="8" t="str">
        <x:v>ST-049</x:v>
      </x:c>
      <x:c r="B54" s="8" t="str">
        <x:v>支援武器</x:v>
      </x:c>
      <x:c r="C54" s="8" t="str">
        <x:v>EAT-411 荡平者</x:v>
      </x:c>
      <x:c r="D54" s="12" t="n">
        <x:f>'定价参数'!$D$83</x:f>
        <x:v>30000</x:v>
      </x:c>
      <x:c r="E54" s="12" t="n">
        <x:f>ROUND('装备与弹药'!D116*1,2)</x:f>
        <x:v>200</x:v>
      </x:c>
      <x:c r="F54" s="11" t="n">
        <x:f>ROUND('装备与弹药'!F116*1*1,2)</x:f>
        <x:v>17500</x:v>
      </x:c>
      <x:c r="G54" s="17" t="n">
        <x:f>SUM(D54:F54)</x:f>
        <x:v>47700</x:v>
      </x:c>
      <x:c r="H54" s="51" t="str">
        <x:v>—</x:v>
      </x:c>
      <x:c r="I54" s="48" t="str">
        <x:v>—</x:v>
      </x:c>
      <x:c r="J54" s="51" t="n">
        <x:v>0</x:v>
      </x:c>
      <x:c r="K54" s="52" t="n">
        <x:f>G54</x:f>
        <x:v>47700</x:v>
      </x:c>
      <x:c r="L54" s="8" t="str">
        <x:v>整次包干</x:v>
      </x:c>
      <x:c r="M54" s="8" t="str">
        <x:v>一次投送1具，共1发；本体和这些弹药已全包，实际发射不再收弹费。</x:v>
      </x:c>
      <x:c r="N54" t="str">
        <x:v>https://helldivers.wiki.gg/wiki/EAT-411_Leveller</x:v>
      </x:c>
      <x:c r="O54" t="str">
        <x:v>Wiki原文核对；MOD标准价，事件检测待实测</x:v>
      </x:c>
      <x:c r="P54" t="str">
        <x:v>EAT-411 Leveller</x:v>
      </x:c>
      <x:c r="Q54" t="str">
        <x:v>中文Wiki用名</x:v>
      </x:c>
      <x:c r="R54" s="66" t="str">
        <x:v>—</x:v>
      </x:c>
      <x:c r="S54" s="66" t="str">
        <x:v>—</x:v>
      </x:c>
      <x:c r="T54" s="66" t="str">
        <x:v>—</x:v>
      </x:c>
      <x:c r="U54" s="67" t="str">
        <x:v>一次性高当量导弹发射器，使用后抛弃。 已核对对应装备构造；本体、投送和弹药按现有口径分项。</x:v>
      </x:c>
    </x:row>
    <x:row r="55" ht="72" customHeight="1">
      <x:c r="A55" s="2" t="str">
        <x:v>ST-050</x:v>
      </x:c>
      <x:c r="B55" s="2" t="str">
        <x:v>支援武器</x:v>
      </x:c>
      <x:c r="C55" s="2" t="str">
        <x:v>GL-28 弹链式榴弹发射器</x:v>
      </x:c>
      <x:c r="D55" s="13" t="n">
        <x:f>'定价参数'!$D$83</x:f>
        <x:v>30000</x:v>
      </x:c>
      <x:c r="E55" s="13" t="n">
        <x:f>ROUND('装备与弹药'!$D$117,2)</x:f>
        <x:v>24000</x:v>
      </x:c>
      <x:c r="F55" s="11" t="n">
        <x:v>0</x:v>
      </x:c>
      <x:c r="G55" s="18" t="n">
        <x:f>SUM(D55:F55)</x:f>
        <x:v>54000</x:v>
      </x:c>
      <x:c r="H55" s="15" t="str">
        <x:v>—</x:v>
      </x:c>
      <x:c r="I55" s="50" t="str">
        <x:v>—</x:v>
      </x:c>
      <x:c r="J55" s="15" t="n">
        <x:v>0</x:v>
      </x:c>
      <x:c r="K55" s="18" t="n">
        <x:f>G55</x:f>
        <x:v>54000</x:v>
      </x:c>
      <x:c r="L55" s="2" t="str">
        <x:v>弹药消耗另记</x:v>
      </x:c>
      <x:c r="M55" s="2" t="str">
        <x:v>可重复使用武器；本体及投送已记，弹药射出/丢弃另记；附属弹药背包不重复收费。</x:v>
      </x:c>
      <x:c r="N55" t="str">
        <x:v>https://helldivers.wiki.gg/wiki/GL-28_Belt-Fed_Grenade_Launcher</x:v>
      </x:c>
      <x:c r="O55" t="str">
        <x:v>Wiki原文核对；MOD标准价，事件检测待实测</x:v>
      </x:c>
      <x:c r="P55" t="str">
        <x:v>GL-28 Belt-Fed Grenade Launcher</x:v>
      </x:c>
      <x:c r="Q55" t="str">
        <x:v>中文Wiki用名</x:v>
      </x:c>
      <x:c r="R55" s="65" t="str">
        <x:v>—</x:v>
      </x:c>
      <x:c r="S55" s="65" t="str">
        <x:v>—</x:v>
      </x:c>
      <x:c r="T55" s="65" t="str">
        <x:v>—</x:v>
      </x:c>
      <x:c r="U55" s="64" t="str">
        <x:v>附弹药背包的弹链式榴弹发射器，可持续射击。 已核对对应装备构造；本体、投送和弹药按现有口径分项。</x:v>
      </x:c>
    </x:row>
    <x:row r="56" ht="72" customHeight="1">
      <x:c r="A56" s="8" t="str">
        <x:v>ST-051</x:v>
      </x:c>
      <x:c r="B56" s="8" t="str">
        <x:v>支援武器</x:v>
      </x:c>
      <x:c r="C56" s="8" t="str">
        <x:v>B/FLAM-80 焚燃者</x:v>
      </x:c>
      <x:c r="D56" s="12" t="n">
        <x:f>'定价参数'!$D$83</x:f>
        <x:v>30000</x:v>
      </x:c>
      <x:c r="E56" s="12" t="n">
        <x:f>ROUND('装备与弹药'!$D$118,2)</x:f>
        <x:v>10000</x:v>
      </x:c>
      <x:c r="F56" s="11" t="n">
        <x:v>0</x:v>
      </x:c>
      <x:c r="G56" s="17" t="n">
        <x:f>SUM(D56:F56)</x:f>
        <x:v>40000</x:v>
      </x:c>
      <x:c r="H56" s="51" t="str">
        <x:v>—</x:v>
      </x:c>
      <x:c r="I56" s="48" t="str">
        <x:v>—</x:v>
      </x:c>
      <x:c r="J56" s="51" t="n">
        <x:v>0</x:v>
      </x:c>
      <x:c r="K56" s="52" t="n">
        <x:f>G56</x:f>
        <x:v>40000</x:v>
      </x:c>
      <x:c r="L56" s="8" t="str">
        <x:v>弹药消耗另记</x:v>
      </x:c>
      <x:c r="M56" s="8" t="str">
        <x:v>可重复使用武器；本体及投送已记，弹药射出/丢弃另记；附属弹药背包不重复收费。</x:v>
      </x:c>
      <x:c r="N56" t="str">
        <x:v>https://helldivers.wiki.gg/wiki/B/FLAM-80_Cremator</x:v>
      </x:c>
      <x:c r="O56" t="str">
        <x:v>Wiki原文核对；MOD标准价，事件检测待实测</x:v>
      </x:c>
      <x:c r="P56" t="str">
        <x:v>B/FLAM-80 Cremator</x:v>
      </x:c>
      <x:c r="Q56" t="str">
        <x:v>中文Wiki用名</x:v>
      </x:c>
      <x:c r="R56" s="66" t="str">
        <x:v>—</x:v>
      </x:c>
      <x:c r="S56" s="66" t="str">
        <x:v>—</x:v>
      </x:c>
      <x:c r="T56" s="66" t="str">
        <x:v>—</x:v>
      </x:c>
      <x:c r="U56" s="67" t="str">
        <x:v>大燃料背包供给双管重型火焰喷射器，可持续射击。 已核对对应装备构造；本体、投送和弹药按现有口径分项。</x:v>
      </x:c>
    </x:row>
    <x:row r="57" ht="72" customHeight="1">
      <x:c r="A57" s="2" t="str">
        <x:v>ST-052</x:v>
      </x:c>
      <x:c r="B57" s="2" t="str">
        <x:v>支援武器</x:v>
      </x:c>
      <x:c r="C57" s="2" t="str">
        <x:v>MGX-42 弹雨风暴</x:v>
      </x:c>
      <x:c r="D57" s="13" t="n">
        <x:f>'定价参数'!$D$83</x:f>
        <x:v>30000</x:v>
      </x:c>
      <x:c r="E57" s="13" t="n">
        <x:f>ROUND('装备与弹药'!D119*2,2)</x:f>
        <x:v>3200</x:v>
      </x:c>
      <x:c r="F57" s="11" t="n">
        <x:f>ROUND('装备与弹药'!F119*2*300,2)</x:f>
        <x:v>630</x:v>
      </x:c>
      <x:c r="G57" s="18" t="n">
        <x:f>SUM(D57:F57)</x:f>
        <x:v>33830</x:v>
      </x:c>
      <x:c r="H57" s="15" t="str">
        <x:v>—</x:v>
      </x:c>
      <x:c r="I57" s="50" t="str">
        <x:v>—</x:v>
      </x:c>
      <x:c r="J57" s="15" t="n">
        <x:v>0</x:v>
      </x:c>
      <x:c r="K57" s="18" t="n">
        <x:f>G57</x:f>
        <x:v>33830</x:v>
      </x:c>
      <x:c r="L57" s="2" t="str">
        <x:v>整次包干</x:v>
      </x:c>
      <x:c r="M57" s="2" t="str">
        <x:v>一次投送2具，共600发；本体和这些弹药已全包，实际发射不再收弹费。</x:v>
      </x:c>
      <x:c r="N57" t="str">
        <x:v>https://helldivers.wiki.gg/wiki/MGX-42_Bullet_Storm</x:v>
      </x:c>
      <x:c r="O57" t="str">
        <x:v>Wiki原文核对；MOD标准价，事件检测待实测</x:v>
      </x:c>
      <x:c r="P57" t="str">
        <x:v>MGX-42 Bullet Storm</x:v>
      </x:c>
      <x:c r="Q57" t="str">
        <x:v>参考译名</x:v>
      </x:c>
      <x:c r="R57" s="65" t="str">
        <x:v>—</x:v>
      </x:c>
      <x:c r="S57" s="65" t="str">
        <x:v>—</x:v>
      </x:c>
      <x:c r="T57" s="65" t="str">
        <x:v>—</x:v>
      </x:c>
      <x:c r="U57" s="64" t="str">
        <x:v>电击发多管堆叠无壳弹武器，每次投送两具，每具300发。 已核对对应装备构造；本体、投送和弹药按现有口径分项。</x:v>
      </x:c>
    </x:row>
    <x:row r="58" ht="72" customHeight="1">
      <x:c r="A58" s="8" t="str">
        <x:v>ST-053</x:v>
      </x:c>
      <x:c r="B58" s="8" t="str">
        <x:v>支援武器</x:v>
      </x:c>
      <x:c r="C58" s="8" t="str">
        <x:v>40-K 热熔枪</x:v>
      </x:c>
      <x:c r="D58" s="12" t="n">
        <x:f>'定价参数'!$D$83</x:f>
        <x:v>30000</x:v>
      </x:c>
      <x:c r="E58" s="12" t="n">
        <x:f>ROUND('装备与弹药'!$D$120,2)</x:f>
        <x:v>120000</x:v>
      </x:c>
      <x:c r="F58" s="11" t="n">
        <x:v>0</x:v>
      </x:c>
      <x:c r="G58" s="17" t="n">
        <x:f>SUM(D58:F58)</x:f>
        <x:v>150000</x:v>
      </x:c>
      <x:c r="H58" s="51" t="str">
        <x:v>—</x:v>
      </x:c>
      <x:c r="I58" s="48" t="str">
        <x:v>—</x:v>
      </x:c>
      <x:c r="J58" s="51" t="n">
        <x:v>0</x:v>
      </x:c>
      <x:c r="K58" s="52" t="n">
        <x:f>G58</x:f>
        <x:v>150000</x:v>
      </x:c>
      <x:c r="L58" s="8" t="str">
        <x:v>弹药消耗另记</x:v>
      </x:c>
      <x:c r="M58" s="8" t="str">
        <x:v>可重复使用武器；本体及投送已记，弹药射出/丢弃另记；附属弹药背包不重复收费。</x:v>
      </x:c>
      <x:c r="N58" t="str">
        <x:v>https://helldivers.wiki.gg/wiki/40-K_Meltagun</x:v>
      </x:c>
      <x:c r="O58" t="str">
        <x:v>Wiki原文核对；MOD标准价，事件检测待实测</x:v>
      </x:c>
      <x:c r="P58" t="str">
        <x:v>40-K Meltagun</x:v>
      </x:c>
      <x:c r="Q58" t="str">
        <x:v>中文Wiki用名</x:v>
      </x:c>
      <x:c r="R58" s="66" t="str">
        <x:v>—</x:v>
      </x:c>
      <x:c r="S58" s="66" t="str">
        <x:v>—</x:v>
      </x:c>
      <x:c r="T58" s="66" t="str">
        <x:v>—</x:v>
      </x:c>
      <x:c r="U58" s="67" t="str">
        <x:v>ST Construction制造的短距离高温热能束武器；每匣三次放射，不是无限供能激光枪。 已核对对应装备构造；本体、投送和弹药按现有口径分项。</x:v>
      </x:c>
    </x:row>
    <x:row r="59" ht="72" customHeight="1">
      <x:c r="A59" s="2" t="str">
        <x:v>ST-054</x:v>
      </x:c>
      <x:c r="B59" s="2" t="str">
        <x:v>载具</x:v>
      </x:c>
      <x:c r="C59" s="2" t="str">
        <x:v>M-103 补给型快速侦察载具</x:v>
      </x:c>
      <x:c r="D59" s="13" t="n">
        <x:f>'定价参数'!$D$86</x:f>
        <x:v>50000</x:v>
      </x:c>
      <x:c r="E59" s="13" t="n">
        <x:f>ROUND('装备与弹药'!$D$160,2)</x:f>
        <x:v>144000</x:v>
      </x:c>
      <x:c r="F59" s="11" t="n">
        <x:v>10000</x:v>
      </x:c>
      <x:c r="G59" s="18" t="n">
        <x:f>SUM(D59:F59)</x:f>
        <x:v>204000</x:v>
      </x:c>
      <x:c r="H59" s="15" t="str">
        <x:v>—</x:v>
      </x:c>
      <x:c r="I59" s="50" t="str">
        <x:v>—</x:v>
      </x:c>
      <x:c r="J59" s="15" t="n">
        <x:v>0</x:v>
      </x:c>
      <x:c r="K59" s="18" t="n">
        <x:f>IF(ISNUMBER('鹈鹕核算'!B6),ROUND(SUM(E59:F59)+D59/'鹈鹕核算'!B6+'定价参数'!$D$130,2),'鹈鹕核算'!B6)</x:f>
        <x:v>168500</x:v>
      </x:c>
      <x:c r="L59" s="2" t="str">
        <x:v>整次包干</x:v>
      </x:c>
      <x:c r="M59" s="2" t="str">
        <x:v>本体及车载标准装药归申请者。鹈鹕运输平台费按当前在队人数均分，再每人加一次基础费；K为申请者本次份额，其他队员只承担运输份额及基础费。运输费已在D列，只分摊一次；运输机实际炮击在鹈鹕核算页逐发另计，不加炮弹基础费。</x:v>
      </x:c>
      <x:c r="N59" t="str">
        <x:v>https://helldivers.wiki.gg/wiki/M-103_Supply_FRV</x:v>
      </x:c>
      <x:c r="O59" t="str">
        <x:v>Wiki原文核对；MOD标准价，事件检测待实测</x:v>
      </x:c>
      <x:c r="P59" t="str">
        <x:v>M-103 Supply FRV</x:v>
      </x:c>
      <x:c r="Q59" t="str">
        <x:v>中文Wiki用名</x:v>
      </x:c>
      <x:c r="R59" s="65" t="str">
        <x:v>—</x:v>
      </x:c>
      <x:c r="S59" s="65" t="str">
        <x:v>—</x:v>
      </x:c>
      <x:c r="T59" s="65" t="str">
        <x:v>—</x:v>
      </x:c>
      <x:c r="U59" s="64" t="str">
        <x:v>快速侦察载具，携带自动防御炮塔与补给架。 已核对对应装备构造；本体、投送和弹药按现有口径分项。</x:v>
      </x:c>
    </x:row>
    <x:row r="60" ht="72" customHeight="1">
      <x:c r="A60" s="8" t="str">
        <x:v>ST-055</x:v>
      </x:c>
      <x:c r="B60" s="8" t="str">
        <x:v>载具</x:v>
      </x:c>
      <x:c r="C60" s="8" t="str">
        <x:v>TD-110 风暴漩涡</x:v>
      </x:c>
      <x:c r="D60" s="12" t="n">
        <x:f>'定价参数'!$D$86</x:f>
        <x:v>50000</x:v>
      </x:c>
      <x:c r="E60" s="12" t="n">
        <x:f>ROUND('装备与弹药'!$D$161,2)</x:f>
        <x:v>3000000</x:v>
      </x:c>
      <x:c r="F60" s="11" t="n">
        <x:v>100000</x:v>
      </x:c>
      <x:c r="G60" s="17" t="n">
        <x:f>SUM(D60:F60)</x:f>
        <x:v>3150000</x:v>
      </x:c>
      <x:c r="H60" s="51" t="str">
        <x:v>—</x:v>
      </x:c>
      <x:c r="I60" s="48" t="str">
        <x:v>—</x:v>
      </x:c>
      <x:c r="J60" s="51" t="n">
        <x:v>0</x:v>
      </x:c>
      <x:c r="K60" s="52" t="n">
        <x:f>IF(ISNUMBER('鹈鹕核算'!B6),ROUND(SUM(E60:F60)+D60/'鹈鹕核算'!B6+'定价参数'!$D$130,2),'鹈鹕核算'!B6)</x:f>
        <x:v>3114500</x:v>
      </x:c>
      <x:c r="L60" s="8" t="str">
        <x:v>整次包干</x:v>
      </x:c>
      <x:c r="M60" s="8" t="str">
        <x:v>本体及车载标准装药归申请者。鹈鹕运输平台费按当前在队人数均分，再每人加一次基础费；K为申请者本次份额，其他队员只承担运输份额及基础费。运输费已在D列，只分摊一次；运输机实际炮击在鹈鹕核算页逐发另计，不加炮弹基础费。</x:v>
      </x:c>
      <x:c r="N60" t="str">
        <x:v>https://helldivers.wiki.gg/wiki/TD-110_Maelstrom</x:v>
      </x:c>
      <x:c r="O60" t="str">
        <x:v>Wiki原文核对；MOD标准价，事件检测待实测</x:v>
      </x:c>
      <x:c r="P60" t="str">
        <x:v>TD-110 Maelstrom</x:v>
      </x:c>
      <x:c r="Q60" t="str">
        <x:v>中文Wiki用名</x:v>
      </x:c>
      <x:c r="R60" s="66" t="str">
        <x:v>—</x:v>
      </x:c>
      <x:c r="S60" s="66" t="str">
        <x:v>—</x:v>
      </x:c>
      <x:c r="T60" s="66" t="str">
        <x:v>—</x:v>
      </x:c>
      <x:c r="U60" s="67" t="str">
        <x:v>重装甲步兵战车，配双转管炮、烟幕与激光制导导弹井。 已核对对应装备构造；本体、投送和弹药按现有口径分项。</x:v>
      </x:c>
    </x:row>
    <x:row r="61" ht="72" customHeight="1">
      <x:c r="A61" s="2" t="str">
        <x:v>ST-056</x:v>
      </x:c>
      <x:c r="B61" s="2" t="str">
        <x:v>载具</x:v>
      </x:c>
      <x:c r="C61" s="2" t="str">
        <x:v>M-104 焚烧型快速侦察载具</x:v>
      </x:c>
      <x:c r="D61" s="13" t="n">
        <x:f>'定价参数'!$D$86</x:f>
        <x:v>50000</x:v>
      </x:c>
      <x:c r="E61" s="13" t="n">
        <x:f>ROUND('装备与弹药'!$D$162,2)</x:f>
        <x:v>138000</x:v>
      </x:c>
      <x:c r="F61" s="11" t="n">
        <x:v>10000</x:v>
      </x:c>
      <x:c r="G61" s="18" t="n">
        <x:f>SUM(D61:F61)</x:f>
        <x:v>198000</x:v>
      </x:c>
      <x:c r="H61" s="15" t="str">
        <x:v>—</x:v>
      </x:c>
      <x:c r="I61" s="50" t="str">
        <x:v>—</x:v>
      </x:c>
      <x:c r="J61" s="15" t="n">
        <x:v>0</x:v>
      </x:c>
      <x:c r="K61" s="18" t="n">
        <x:f>IF(ISNUMBER('鹈鹕核算'!B6),ROUND(SUM(E61:F61)+D61/'鹈鹕核算'!B6+'定价参数'!$D$130,2),'鹈鹕核算'!B6)</x:f>
        <x:v>162500</x:v>
      </x:c>
      <x:c r="L61" s="2" t="str">
        <x:v>整次包干</x:v>
      </x:c>
      <x:c r="M61" s="2" t="str">
        <x:v>本体及车载标准装药归申请者。鹈鹕运输平台费按当前在队人数均分，再每人加一次基础费；K为申请者本次份额，其他队员只承担运输份额及基础费。运输费已在D列，只分摊一次；运输机实际炮击在鹈鹕核算页逐发另计，不加炮弹基础费。</x:v>
      </x:c>
      <x:c r="N61" t="str">
        <x:v>https://helldivers.wiki.gg/wiki/M-104_Incinerator_FRV</x:v>
      </x:c>
      <x:c r="O61" t="str">
        <x:v>Wiki原文核对；MOD标准价，事件检测待实测</x:v>
      </x:c>
      <x:c r="P61" t="str">
        <x:v>M-104 Incinerator FRV</x:v>
      </x:c>
      <x:c r="Q61" t="str">
        <x:v>参考译名</x:v>
      </x:c>
      <x:c r="R61" s="65" t="str">
        <x:v>—</x:v>
      </x:c>
      <x:c r="S61" s="65" t="str">
        <x:v>—</x:v>
      </x:c>
      <x:c r="T61" s="65" t="str">
        <x:v>—</x:v>
      </x:c>
      <x:c r="U61" s="64" t="str">
        <x:v>三座、强化装甲、撞击格栅和车顶重型喷火器的FRV。 已核对对应装备构造；本体、投送和弹药按现有口径分项。</x:v>
      </x:c>
    </x:row>
    <x:row r="62" ht="72" customHeight="1">
      <x:c r="A62" s="8" t="str">
        <x:v>ST-057</x:v>
      </x:c>
      <x:c r="B62" s="8" t="str">
        <x:v>载具</x:v>
      </x:c>
      <x:c r="C62" s="8" t="str">
        <x:v>EXO-49 解放者外骨骼装甲</x:v>
      </x:c>
      <x:c r="D62" s="12" t="n">
        <x:f>'定价参数'!$D$86</x:f>
        <x:v>50000</x:v>
      </x:c>
      <x:c r="E62" s="12" t="n">
        <x:f>ROUND('装备与弹药'!$D$163,2)</x:f>
        <x:v>1500000</x:v>
      </x:c>
      <x:c r="F62" s="11" t="n">
        <x:v>50000</x:v>
      </x:c>
      <x:c r="G62" s="17" t="n">
        <x:f>SUM(D62:F62)</x:f>
        <x:v>1600000</x:v>
      </x:c>
      <x:c r="H62" s="51" t="str">
        <x:v>—</x:v>
      </x:c>
      <x:c r="I62" s="48" t="str">
        <x:v>—</x:v>
      </x:c>
      <x:c r="J62" s="51" t="n">
        <x:v>0</x:v>
      </x:c>
      <x:c r="K62" s="52" t="n">
        <x:f>IF(ISNUMBER('鹈鹕核算'!B6),ROUND(SUM(E62:F62)+D62/'鹈鹕核算'!B6+'定价参数'!$D$130,2),'鹈鹕核算'!B6)</x:f>
        <x:v>1564500</x:v>
      </x:c>
      <x:c r="L62" s="8" t="str">
        <x:v>整次包干</x:v>
      </x:c>
      <x:c r="M62" s="8" t="str">
        <x:v>本体及车载标准装药归申请者。鹈鹕运输平台费按当前在队人数均分，再每人加一次基础费；K为申请者本次份额，其他队员只承担运输份额及基础费。运输费已在D列，只分摊一次；运输机实际炮击在鹈鹕核算页逐发另计，不加炮弹基础费。</x:v>
      </x:c>
      <x:c r="N62" t="str">
        <x:v>https://helldivers.wiki.gg/wiki/EXO-49_Emancipator_Exosuit</x:v>
      </x:c>
      <x:c r="O62" t="str">
        <x:v>Wiki原文核对；MOD标准价，事件检测待实测</x:v>
      </x:c>
      <x:c r="P62" t="str">
        <x:v>EXO-49 Emancipator Exosuit</x:v>
      </x:c>
      <x:c r="Q62" t="str">
        <x:v>中文Wiki用名</x:v>
      </x:c>
      <x:c r="R62" s="66" t="str">
        <x:v>—</x:v>
      </x:c>
      <x:c r="S62" s="66" t="str">
        <x:v>—</x:v>
      </x:c>
      <x:c r="T62" s="66" t="str">
        <x:v>—</x:v>
      </x:c>
      <x:c r="U62" s="67" t="str">
        <x:v>配双机炮的持续爆炸火力外骨骼。 已核对对应装备构造；本体、投送和弹药按现有口径分项。</x:v>
      </x:c>
    </x:row>
    <x:row r="63" ht="72" customHeight="1">
      <x:c r="A63" s="2" t="str">
        <x:v>ST-058</x:v>
      </x:c>
      <x:c r="B63" s="2" t="str">
        <x:v>载具</x:v>
      </x:c>
      <x:c r="C63" s="2" t="str">
        <x:v>EXO-45 爱国者外骨骼装甲</x:v>
      </x:c>
      <x:c r="D63" s="13" t="n">
        <x:f>'定价参数'!$D$86</x:f>
        <x:v>50000</x:v>
      </x:c>
      <x:c r="E63" s="13" t="n">
        <x:f>ROUND('装备与弹药'!$D$164,2)</x:f>
        <x:v>1500000</x:v>
      </x:c>
      <x:c r="F63" s="11" t="n">
        <x:v>50000</x:v>
      </x:c>
      <x:c r="G63" s="18" t="n">
        <x:f>SUM(D63:F63)</x:f>
        <x:v>1600000</x:v>
      </x:c>
      <x:c r="H63" s="15" t="str">
        <x:v>—</x:v>
      </x:c>
      <x:c r="I63" s="50" t="str">
        <x:v>—</x:v>
      </x:c>
      <x:c r="J63" s="15" t="n">
        <x:v>0</x:v>
      </x:c>
      <x:c r="K63" s="18" t="n">
        <x:f>IF(ISNUMBER('鹈鹕核算'!B6),ROUND(SUM(E63:F63)+D63/'鹈鹕核算'!B6+'定价参数'!$D$130,2),'鹈鹕核算'!B6)</x:f>
        <x:v>1564500</x:v>
      </x:c>
      <x:c r="L63" s="2" t="str">
        <x:v>整次包干</x:v>
      </x:c>
      <x:c r="M63" s="2" t="str">
        <x:v>本体及车载标准装药归申请者。鹈鹕运输平台费按当前在队人数均分，再每人加一次基础费；K为申请者本次份额，其他队员只承担运输份额及基础费。运输费已在D列，只分摊一次；运输机实际炮击在鹈鹕核算页逐发另计，不加炮弹基础费。</x:v>
      </x:c>
      <x:c r="N63" t="str">
        <x:v>https://helldivers.wiki.gg/wiki/EXO-45_Patriot_Exosuit</x:v>
      </x:c>
      <x:c r="O63" t="str">
        <x:v>Wiki原文核对；MOD标准价，事件检测待实测</x:v>
      </x:c>
      <x:c r="P63" t="str">
        <x:v>EXO-45 Patriot Exosuit</x:v>
      </x:c>
      <x:c r="Q63" t="str">
        <x:v>参考译名</x:v>
      </x:c>
      <x:c r="R63" s="65" t="str">
        <x:v>—</x:v>
      </x:c>
      <x:c r="S63" s="65" t="str">
        <x:v>—</x:v>
      </x:c>
      <x:c r="T63" s="65" t="str">
        <x:v>—</x:v>
      </x:c>
      <x:c r="U63" s="64" t="str">
        <x:v>配火箭发射器与加特林的外骨骼。 已核对对应装备构造；本体、投送和弹药按现有口径分项。</x:v>
      </x:c>
    </x:row>
    <x:row r="64" ht="72" customHeight="1">
      <x:c r="A64" s="8" t="str">
        <x:v>ST-059</x:v>
      </x:c>
      <x:c r="B64" s="8" t="str">
        <x:v>载具</x:v>
      </x:c>
      <x:c r="C64" s="8" t="str">
        <x:v>M-102 机枪型快速侦察载具</x:v>
      </x:c>
      <x:c r="D64" s="12" t="n">
        <x:f>'定价参数'!$D$86</x:f>
        <x:v>50000</x:v>
      </x:c>
      <x:c r="E64" s="12" t="n">
        <x:f>ROUND('装备与弹药'!$D$165,2)</x:f>
        <x:v>120000</x:v>
      </x:c>
      <x:c r="F64" s="11" t="n">
        <x:v>10000</x:v>
      </x:c>
      <x:c r="G64" s="17" t="n">
        <x:f>SUM(D64:F64)</x:f>
        <x:v>180000</x:v>
      </x:c>
      <x:c r="H64" s="51" t="str">
        <x:v>—</x:v>
      </x:c>
      <x:c r="I64" s="48" t="str">
        <x:v>—</x:v>
      </x:c>
      <x:c r="J64" s="51" t="n">
        <x:v>0</x:v>
      </x:c>
      <x:c r="K64" s="52" t="n">
        <x:f>IF(ISNUMBER('鹈鹕核算'!B6),ROUND(SUM(E64:F64)+D64/'鹈鹕核算'!B6+'定价参数'!$D$130,2),'鹈鹕核算'!B6)</x:f>
        <x:v>144500</x:v>
      </x:c>
      <x:c r="L64" s="8" t="str">
        <x:v>整次包干</x:v>
      </x:c>
      <x:c r="M64" s="8" t="str">
        <x:v>本体及车载标准装药归申请者。鹈鹕运输平台费按当前在队人数均分，再每人加一次基础费；K为申请者本次份额，其他队员只承担运输份额及基础费。运输费已在D列，只分摊一次；运输机实际炮击在鹈鹕核算页逐发另计，不加炮弹基础费。</x:v>
      </x:c>
      <x:c r="N64" t="str">
        <x:v>https://helldivers.wiki.gg/wiki/M-102_Gunner_FRV</x:v>
      </x:c>
      <x:c r="O64" t="str">
        <x:v>Wiki原文核对；MOD标准价，事件检测待实测</x:v>
      </x:c>
      <x:c r="P64" t="str">
        <x:v>M-102 Gunner FRV</x:v>
      </x:c>
      <x:c r="Q64" t="str">
        <x:v>参考译名</x:v>
      </x:c>
      <x:c r="R64" s="66" t="str">
        <x:v>—</x:v>
      </x:c>
      <x:c r="S64" s="66" t="str">
        <x:v>—</x:v>
      </x:c>
      <x:c r="T64" s="66" t="str">
        <x:v>—</x:v>
      </x:c>
      <x:c r="U64" s="67" t="str">
        <x:v>轻型装甲FRV，车顶装重机枪。 已核对对应装备构造；本体、投送和弹药按现有口径分项。</x:v>
      </x:c>
    </x:row>
    <x:row r="65" ht="72" customHeight="1">
      <x:c r="A65" s="2" t="str">
        <x:v>ST-060</x:v>
      </x:c>
      <x:c r="B65" s="2" t="str">
        <x:v>载具</x:v>
      </x:c>
      <x:c r="C65" s="2" t="str">
        <x:v>TD-220 堡垒 MK XVI</x:v>
      </x:c>
      <x:c r="D65" s="13" t="n">
        <x:f>'定价参数'!$D$86</x:f>
        <x:v>50000</x:v>
      </x:c>
      <x:c r="E65" s="13" t="n">
        <x:f>ROUND('装备与弹药'!$D$166,2)</x:f>
        <x:v>4000000</x:v>
      </x:c>
      <x:c r="F65" s="11" t="n">
        <x:v>100000</x:v>
      </x:c>
      <x:c r="G65" s="18" t="n">
        <x:f>SUM(D65:F65)</x:f>
        <x:v>4150000</x:v>
      </x:c>
      <x:c r="H65" s="15" t="str">
        <x:v>—</x:v>
      </x:c>
      <x:c r="I65" s="50" t="str">
        <x:v>—</x:v>
      </x:c>
      <x:c r="J65" s="15" t="n">
        <x:v>0</x:v>
      </x:c>
      <x:c r="K65" s="18" t="n">
        <x:f>IF(ISNUMBER('鹈鹕核算'!B6),ROUND(SUM(E65:F65)+D65/'鹈鹕核算'!B6+'定价参数'!$D$130,2),'鹈鹕核算'!B6)</x:f>
        <x:v>4114500</x:v>
      </x:c>
      <x:c r="L65" s="2" t="str">
        <x:v>整次包干</x:v>
      </x:c>
      <x:c r="M65" s="2" t="str">
        <x:v>本体及车载标准装药归申请者。鹈鹕运输平台费按当前在队人数均分，再每人加一次基础费；K为申请者本次份额，其他队员只承担运输份额及基础费。运输费已在D列，只分摊一次；运输机实际炮击在鹈鹕核算页逐发另计，不加炮弹基础费。</x:v>
      </x:c>
      <x:c r="N65" t="str">
        <x:v>https://helldivers.wiki.gg/wiki/TD-220_Bastion_MK_XVI</x:v>
      </x:c>
      <x:c r="O65" t="str">
        <x:v>Wiki原文核对；MOD标准价，事件检测待实测</x:v>
      </x:c>
      <x:c r="P65" t="str">
        <x:v>TD-220 Bastion MK XVI</x:v>
      </x:c>
      <x:c r="Q65" t="str">
        <x:v>中文Wiki用名</x:v>
      </x:c>
      <x:c r="R65" s="65" t="str">
        <x:v>—</x:v>
      </x:c>
      <x:c r="S65" s="65" t="str">
        <x:v>—</x:v>
      </x:c>
      <x:c r="T65" s="65" t="str">
        <x:v>—</x:v>
      </x:c>
      <x:c r="U65" s="64" t="str">
        <x:v>重装甲坦克歼击车，配120mm高速炮与同轴重机枪。 已核对对应装备构造；本体、投送和弹药按现有口径分项。</x:v>
      </x:c>
    </x:row>
    <x:row r="66" ht="72" customHeight="1">
      <x:c r="A66" s="8" t="str">
        <x:v>ST-061</x:v>
      </x:c>
      <x:c r="B66" s="8" t="str">
        <x:v>载具</x:v>
      </x:c>
      <x:c r="C66" s="8" t="str">
        <x:v>EXO-55 突破者外骨骼装甲</x:v>
      </x:c>
      <x:c r="D66" s="12" t="n">
        <x:f>'定价参数'!$D$86</x:f>
        <x:v>50000</x:v>
      </x:c>
      <x:c r="E66" s="12" t="n">
        <x:f>ROUND('装备与弹药'!$D$167,2)</x:f>
        <x:v>1500000</x:v>
      </x:c>
      <x:c r="F66" s="11" t="n">
        <x:v>50000</x:v>
      </x:c>
      <x:c r="G66" s="17" t="n">
        <x:f>SUM(D66:F66)</x:f>
        <x:v>1600000</x:v>
      </x:c>
      <x:c r="H66" s="51" t="str">
        <x:v>—</x:v>
      </x:c>
      <x:c r="I66" s="48" t="str">
        <x:v>—</x:v>
      </x:c>
      <x:c r="J66" s="51" t="n">
        <x:v>0</x:v>
      </x:c>
      <x:c r="K66" s="52" t="n">
        <x:f>IF(ISNUMBER('鹈鹕核算'!B6),ROUND(SUM(E66:F66)+D66/'鹈鹕核算'!B6+'定价参数'!$D$130,2),'鹈鹕核算'!B6)</x:f>
        <x:v>1564500</x:v>
      </x:c>
      <x:c r="L66" s="8" t="str">
        <x:v>整次包干</x:v>
      </x:c>
      <x:c r="M66" s="8" t="str">
        <x:v>本体及车载标准装药归申请者。鹈鹕运输平台费按当前在队人数均分，再每人加一次基础费；K为申请者本次份额，其他队员只承担运输份额及基础费。运输费已在D列，只分摊一次；运输机实际炮击在鹈鹕核算页逐发另计，不加炮弹基础费。</x:v>
      </x:c>
      <x:c r="N66" t="str">
        <x:v>https://helldivers.wiki.gg/wiki/EXO-55_Breakthrough_Exosuit</x:v>
      </x:c>
      <x:c r="O66" t="str">
        <x:v>Wiki原文核对；MOD标准价，事件检测待实测</x:v>
      </x:c>
      <x:c r="P66" t="str">
        <x:v>EXO-55 Breakthrough Exosuit</x:v>
      </x:c>
      <x:c r="Q66" t="str">
        <x:v>参考译名</x:v>
      </x:c>
      <x:c r="R66" s="66" t="str">
        <x:v>—</x:v>
      </x:c>
      <x:c r="S66" s="66" t="str">
        <x:v>—</x:v>
      </x:c>
      <x:c r="T66" s="66" t="str">
        <x:v>—</x:v>
      </x:c>
      <x:c r="U66" s="67" t="str">
        <x:v>配重型防空炮及防弹盾的外骨骼。 已核对对应装备构造；本体、投送和弹药按现有口径分项。</x:v>
      </x:c>
    </x:row>
    <x:row r="67" ht="72" customHeight="1">
      <x:c r="A67" s="2" t="str">
        <x:v>ST-062</x:v>
      </x:c>
      <x:c r="B67" s="2" t="str">
        <x:v>载具</x:v>
      </x:c>
      <x:c r="C67" s="2" t="str">
        <x:v>EXO-51 伐木者外骨骼装甲</x:v>
      </x:c>
      <x:c r="D67" s="13" t="n">
        <x:f>'定价参数'!$D$86</x:f>
        <x:v>50000</x:v>
      </x:c>
      <x:c r="E67" s="13" t="n">
        <x:f>ROUND('装备与弹药'!$D$168,2)</x:f>
        <x:v>1500000</x:v>
      </x:c>
      <x:c r="F67" s="11" t="n">
        <x:v>50000</x:v>
      </x:c>
      <x:c r="G67" s="18" t="n">
        <x:f>SUM(D67:F67)</x:f>
        <x:v>1600000</x:v>
      </x:c>
      <x:c r="H67" s="15" t="str">
        <x:v>—</x:v>
      </x:c>
      <x:c r="I67" s="50" t="str">
        <x:v>—</x:v>
      </x:c>
      <x:c r="J67" s="15" t="n">
        <x:v>0</x:v>
      </x:c>
      <x:c r="K67" s="18" t="n">
        <x:f>IF(ISNUMBER('鹈鹕核算'!B6),ROUND(SUM(E67:F67)+D67/'鹈鹕核算'!B6+'定价参数'!$D$130,2),'鹈鹕核算'!B6)</x:f>
        <x:v>1564500</x:v>
      </x:c>
      <x:c r="L67" s="2" t="str">
        <x:v>整次包干</x:v>
      </x:c>
      <x:c r="M67" s="2" t="str">
        <x:v>本体及车载标准装药归申请者。鹈鹕运输平台费按当前在队人数均分，再每人加一次基础费；K为申请者本次份额，其他队员只承担运输份额及基础费。运输费已在D列，只分摊一次；运输机实际炮击在鹈鹕核算页逐发另计，不加炮弹基础费。</x:v>
      </x:c>
      <x:c r="N67" t="str">
        <x:v>https://helldivers.wiki.gg/wiki/EXO-51_Lumberer_Exosuit</x:v>
      </x:c>
      <x:c r="O67" t="str">
        <x:v>Wiki原文核对；MOD标准价，事件检测待实测</x:v>
      </x:c>
      <x:c r="P67" t="str">
        <x:v>EXO-51 Lumberer Exosuit</x:v>
      </x:c>
      <x:c r="Q67" t="str">
        <x:v>参考译名</x:v>
      </x:c>
      <x:c r="R67" s="65" t="str">
        <x:v>—</x:v>
      </x:c>
      <x:c r="S67" s="65" t="str">
        <x:v>—</x:v>
      </x:c>
      <x:c r="T67" s="65" t="str">
        <x:v>—</x:v>
      </x:c>
      <x:c r="U67" s="64" t="str">
        <x:v>配火焰喷射器与反坦克炮的外骨骼。 已核对对应装备构造；本体、投送和弹药按现有口径分项。</x:v>
      </x:c>
    </x:row>
    <x:row r="68" ht="72" customHeight="1">
      <x:c r="A68" s="8" t="str">
        <x:v>ST-063</x:v>
      </x:c>
      <x:c r="B68" s="8" t="str">
        <x:v>背包</x:v>
      </x:c>
      <x:c r="C68" s="8" t="str">
        <x:v>B-1 补给背包</x:v>
      </x:c>
      <x:c r="D68" s="12" t="n">
        <x:f>'定价参数'!$D$83</x:f>
        <x:v>30000</x:v>
      </x:c>
      <x:c r="E68" s="12" t="n">
        <x:f>ROUND('装备与弹药'!$D$144,2)</x:f>
        <x:v>500</x:v>
      </x:c>
      <x:c r="F68" s="11" t="n">
        <x:v>0</x:v>
      </x:c>
      <x:c r="G68" s="17" t="n">
        <x:f>SUM(D68:F68)</x:f>
        <x:v>30500</x:v>
      </x:c>
      <x:c r="H68" s="51" t="str">
        <x:v>—</x:v>
      </x:c>
      <x:c r="I68" s="48" t="str">
        <x:v>—</x:v>
      </x:c>
      <x:c r="J68" s="51" t="n">
        <x:v>0</x:v>
      </x:c>
      <x:c r="K68" s="52" t="n">
        <x:f>G68</x:f>
        <x:v>30500</x:v>
      </x:c>
      <x:c r="L68" s="8" t="str">
        <x:v>补给消耗另记</x:v>
      </x:c>
      <x:c r="M68" s="8" t="str">
        <x:v>弹药/药剂只是库存转移；实际消耗沿用装备弹药价。</x:v>
      </x:c>
      <x:c r="N68" t="str">
        <x:v>https://helldivers.wiki.gg/wiki/B-1_Supply_Pack</x:v>
      </x:c>
      <x:c r="O68" t="str">
        <x:v>Wiki原文核对；MOD标准价，事件检测待实测</x:v>
      </x:c>
      <x:c r="P68" t="str">
        <x:v>B-1 Supply Pack</x:v>
      </x:c>
      <x:c r="Q68" t="str">
        <x:v>中文Wiki用名</x:v>
      </x:c>
      <x:c r="R68" s="66" t="str">
        <x:v>—</x:v>
      </x:c>
      <x:c r="S68" s="66" t="str">
        <x:v>—</x:v>
      </x:c>
      <x:c r="T68" s="66" t="str">
        <x:v>—</x:v>
      </x:c>
      <x:c r="U68" s="67" t="str">
        <x:v>背包携带可分给队友的弹药、手雷与治疗补给箱。 已核对对应装备构造；本体、投送和弹药按现有口径分项。</x:v>
      </x:c>
    </x:row>
    <x:row r="69" ht="72" customHeight="1">
      <x:c r="A69" s="2" t="str">
        <x:v>ST-064</x:v>
      </x:c>
      <x:c r="B69" s="2" t="str">
        <x:v>背包</x:v>
      </x:c>
      <x:c r="C69" s="2" t="str">
        <x:v>LIFT-850 喷射背包</x:v>
      </x:c>
      <x:c r="D69" s="13" t="n">
        <x:f>'定价参数'!$D$83</x:f>
        <x:v>30000</x:v>
      </x:c>
      <x:c r="E69" s="13" t="n">
        <x:f>ROUND('装备与弹药'!$D$145,2)</x:f>
        <x:v>15000</x:v>
      </x:c>
      <x:c r="F69" s="11" t="n">
        <x:v>0</x:v>
      </x:c>
      <x:c r="G69" s="18" t="n">
        <x:f>SUM(D69:F69)</x:f>
        <x:v>45000</x:v>
      </x:c>
      <x:c r="H69" s="15" t="str">
        <x:v>—</x:v>
      </x:c>
      <x:c r="I69" s="50" t="str">
        <x:v>—</x:v>
      </x:c>
      <x:c r="J69" s="15" t="n">
        <x:v>0</x:v>
      </x:c>
      <x:c r="K69" s="18" t="n">
        <x:f>G69</x:f>
        <x:v>45000</x:v>
      </x:c>
      <x:c r="L69" s="2" t="str">
        <x:v>整次包干</x:v>
      </x:c>
      <x:c r="M69" s="2" t="str">
        <x:v>已含自主武器和能源标准包；被动生效不另记事件费。</x:v>
      </x:c>
      <x:c r="N69" t="str">
        <x:v>https://helldivers.wiki.gg/wiki/LIFT-850_Jump_Pack</x:v>
      </x:c>
      <x:c r="O69" t="str">
        <x:v>Wiki原文核对；MOD标准价，事件检测待实测</x:v>
      </x:c>
      <x:c r="P69" t="str">
        <x:v>LIFT-850 Jump Pack</x:v>
      </x:c>
      <x:c r="Q69" t="str">
        <x:v>中文Wiki用名</x:v>
      </x:c>
      <x:c r="R69" s="65" t="str">
        <x:v>—</x:v>
      </x:c>
      <x:c r="S69" s="65" t="str">
        <x:v>—</x:v>
      </x:c>
      <x:c r="T69" s="65" t="str">
        <x:v>—</x:v>
      </x:c>
      <x:c r="U69" s="64" t="str">
        <x:v>需充能后使用的喷射背包，提高跳跃高度与水平位移。 已核对对应装备构造；本体、投送和弹药按现有口径分项。</x:v>
      </x:c>
    </x:row>
    <x:row r="70" ht="72" customHeight="1">
      <x:c r="A70" s="8" t="str">
        <x:v>ST-065</x:v>
      </x:c>
      <x:c r="B70" s="8" t="str">
        <x:v>背包</x:v>
      </x:c>
      <x:c r="C70" s="8" t="str">
        <x:v>SH-20 防弹护盾背包</x:v>
      </x:c>
      <x:c r="D70" s="12" t="n">
        <x:f>'定价参数'!$D$83</x:f>
        <x:v>30000</x:v>
      </x:c>
      <x:c r="E70" s="12" t="n">
        <x:f>ROUND('装备与弹药'!$D$146,2)</x:f>
        <x:v>2000</x:v>
      </x:c>
      <x:c r="F70" s="11" t="n">
        <x:v>0</x:v>
      </x:c>
      <x:c r="G70" s="17" t="n">
        <x:f>SUM(D70:F70)</x:f>
        <x:v>32000</x:v>
      </x:c>
      <x:c r="H70" s="51" t="str">
        <x:v>—</x:v>
      </x:c>
      <x:c r="I70" s="48" t="str">
        <x:v>—</x:v>
      </x:c>
      <x:c r="J70" s="51" t="n">
        <x:v>0</x:v>
      </x:c>
      <x:c r="K70" s="52" t="n">
        <x:f>G70</x:f>
        <x:v>32000</x:v>
      </x:c>
      <x:c r="L70" s="8" t="str">
        <x:v>整次包干</x:v>
      </x:c>
      <x:c r="M70" s="8" t="str">
        <x:v>已含自主武器和能源标准包；被动生效不另记事件费。</x:v>
      </x:c>
      <x:c r="N70" t="str">
        <x:v>https://helldivers.wiki.gg/wiki/SH-20_Ballistic_Shield_Backpack</x:v>
      </x:c>
      <x:c r="O70" t="str">
        <x:v>Wiki原文核对；MOD标准价，事件检测待实测</x:v>
      </x:c>
      <x:c r="P70" t="str">
        <x:v>SH-20 Ballistic Shield Backpack</x:v>
      </x:c>
      <x:c r="Q70" t="str">
        <x:v>中文Wiki用名</x:v>
      </x:c>
      <x:c r="R70" s="66" t="str">
        <x:v>—</x:v>
      </x:c>
      <x:c r="S70" s="66" t="str">
        <x:v>—</x:v>
      </x:c>
      <x:c r="T70" s="66" t="str">
        <x:v>—</x:v>
      </x:c>
      <x:c r="U70" s="67" t="str">
        <x:v>可单手持用的实物防弹盾，抵挡轻武器火力。 已核对对应装备构造；本体、投送和弹药按现有口径分项。</x:v>
      </x:c>
    </x:row>
    <x:row r="71" ht="72" customHeight="1">
      <x:c r="A71" s="2" t="str">
        <x:v>ST-066</x:v>
      </x:c>
      <x:c r="B71" s="2" t="str">
        <x:v>背包</x:v>
      </x:c>
      <x:c r="C71" s="2" t="str">
        <x:v>AX/AR-23 护卫犬</x:v>
      </x:c>
      <x:c r="D71" s="13" t="n">
        <x:f>'定价参数'!$D$83</x:f>
        <x:v>30000</x:v>
      </x:c>
      <x:c r="E71" s="13" t="n">
        <x:f>ROUND('装备与弹药'!$D$147,2)</x:f>
        <x:v>18000</x:v>
      </x:c>
      <x:c r="F71" s="11" t="n">
        <x:v>2000</x:v>
      </x:c>
      <x:c r="G71" s="18" t="n">
        <x:f>SUM(D71:F71)</x:f>
        <x:v>50000</x:v>
      </x:c>
      <x:c r="H71" s="15" t="str">
        <x:v>—</x:v>
      </x:c>
      <x:c r="I71" s="50" t="str">
        <x:v>—</x:v>
      </x:c>
      <x:c r="J71" s="15" t="n">
        <x:v>0</x:v>
      </x:c>
      <x:c r="K71" s="18" t="n">
        <x:f>G71</x:f>
        <x:v>50000</x:v>
      </x:c>
      <x:c r="L71" s="2" t="str">
        <x:v>整次包干</x:v>
      </x:c>
      <x:c r="M71" s="2" t="str">
        <x:v>已含自主武器和能源标准包；被动生效不另记事件费。</x:v>
      </x:c>
      <x:c r="N71" t="str">
        <x:v>https://helldivers.wiki.gg/wiki/AX/AR-23_Guard_Dog</x:v>
      </x:c>
      <x:c r="O71" t="str">
        <x:v>Wiki原文核对；MOD标准价，事件检测待实测</x:v>
      </x:c>
      <x:c r="P71" t="str">
        <x:v>AX/AR-23 Guard Dog</x:v>
      </x:c>
      <x:c r="Q71" t="str">
        <x:v>中文Wiki用名</x:v>
      </x:c>
      <x:c r="R71" s="65" t="str">
        <x:v>—</x:v>
      </x:c>
      <x:c r="S71" s="65" t="str">
        <x:v>—</x:v>
      </x:c>
      <x:c r="T71" s="65" t="str">
        <x:v>—</x:v>
      </x:c>
      <x:c r="U71" s="64" t="str">
        <x:v>自动无人机携带解放者，回背包补弹。 已核对对应装备构造；本体、投送和弹药按现有口径分项。</x:v>
      </x:c>
    </x:row>
    <x:row r="72" ht="72" customHeight="1">
      <x:c r="A72" s="8" t="str">
        <x:v>ST-067</x:v>
      </x:c>
      <x:c r="B72" s="8" t="str">
        <x:v>背包</x:v>
      </x:c>
      <x:c r="C72" s="8" t="str">
        <x:v>AX/LAS-5 漫游车</x:v>
      </x:c>
      <x:c r="D72" s="12" t="n">
        <x:f>'定价参数'!$D$83</x:f>
        <x:v>30000</x:v>
      </x:c>
      <x:c r="E72" s="12" t="n">
        <x:f>ROUND('装备与弹药'!$D$148,2)</x:f>
        <x:v>23400</x:v>
      </x:c>
      <x:c r="F72" s="11" t="n">
        <x:v>2000</x:v>
      </x:c>
      <x:c r="G72" s="17" t="n">
        <x:f>SUM(D72:F72)</x:f>
        <x:v>55400</x:v>
      </x:c>
      <x:c r="H72" s="51" t="str">
        <x:v>—</x:v>
      </x:c>
      <x:c r="I72" s="48" t="str">
        <x:v>—</x:v>
      </x:c>
      <x:c r="J72" s="51" t="n">
        <x:v>0</x:v>
      </x:c>
      <x:c r="K72" s="52" t="n">
        <x:f>G72</x:f>
        <x:v>55400</x:v>
      </x:c>
      <x:c r="L72" s="8" t="str">
        <x:v>整次包干</x:v>
      </x:c>
      <x:c r="M72" s="8" t="str">
        <x:v>已含自主武器和能源标准包；被动生效不另记事件费。</x:v>
      </x:c>
      <x:c r="N72" t="str">
        <x:v>https://helldivers.wiki.gg/wiki/AX/LAS-5_Rover</x:v>
      </x:c>
      <x:c r="O72" t="str">
        <x:v>Wiki原文核对；MOD标准价，事件检测待实测</x:v>
      </x:c>
      <x:c r="P72" t="str">
        <x:v>AX/LAS-5 Rover</x:v>
      </x:c>
      <x:c r="Q72" t="str">
        <x:v>中文Wiki用名</x:v>
      </x:c>
      <x:c r="R72" s="66" t="str">
        <x:v>—</x:v>
      </x:c>
      <x:c r="S72" s="66" t="str">
        <x:v>—</x:v>
      </x:c>
      <x:c r="T72" s="66" t="str">
        <x:v>—</x:v>
      </x:c>
      <x:c r="U72" s="67" t="str">
        <x:v>自动激光无人机，回背包冷却。 已核对对应装备构造；本体、投送和弹药按现有口径分项。</x:v>
      </x:c>
    </x:row>
    <x:row r="73" ht="72" customHeight="1">
      <x:c r="A73" s="2" t="str">
        <x:v>ST-068</x:v>
      </x:c>
      <x:c r="B73" s="2" t="str">
        <x:v>背包</x:v>
      </x:c>
      <x:c r="C73" s="2" t="str">
        <x:v>SH-32 防护罩生成包</x:v>
      </x:c>
      <x:c r="D73" s="13" t="n">
        <x:f>'定价参数'!$D$83</x:f>
        <x:v>30000</x:v>
      </x:c>
      <x:c r="E73" s="13" t="n">
        <x:f>ROUND('装备与弹药'!$D$149,2)</x:f>
        <x:v>25000</x:v>
      </x:c>
      <x:c r="F73" s="11" t="n">
        <x:v>0</x:v>
      </x:c>
      <x:c r="G73" s="18" t="n">
        <x:f>SUM(D73:F73)</x:f>
        <x:v>55000</x:v>
      </x:c>
      <x:c r="H73" s="15" t="str">
        <x:v>—</x:v>
      </x:c>
      <x:c r="I73" s="50" t="str">
        <x:v>—</x:v>
      </x:c>
      <x:c r="J73" s="15" t="n">
        <x:v>0</x:v>
      </x:c>
      <x:c r="K73" s="18" t="n">
        <x:f>G73</x:f>
        <x:v>55000</x:v>
      </x:c>
      <x:c r="L73" s="2" t="str">
        <x:v>整次包干</x:v>
      </x:c>
      <x:c r="M73" s="2" t="str">
        <x:v>已含自主武器和能源标准包；被动生效不另记事件费。</x:v>
      </x:c>
      <x:c r="N73" t="str">
        <x:v>https://helldivers.wiki.gg/wiki/SH-32_Shield_Generator_Pack</x:v>
      </x:c>
      <x:c r="O73" t="str">
        <x:v>Wiki原文核对；MOD标准价，事件检测待实测</x:v>
      </x:c>
      <x:c r="P73" t="str">
        <x:v>SH-32 Shield Generator Pack</x:v>
      </x:c>
      <x:c r="Q73" t="str">
        <x:v>中文Wiki用名</x:v>
      </x:c>
      <x:c r="R73" s="65" t="str">
        <x:v>—</x:v>
      </x:c>
      <x:c r="S73" s="65" t="str">
        <x:v>—</x:v>
      </x:c>
      <x:c r="T73" s="65" t="str">
        <x:v>—</x:v>
      </x:c>
      <x:c r="U73" s="64" t="str">
        <x:v>在使用者周围生成球形阻弹护盾。 已核对对应装备构造；本体、投送和弹药按现有口径分项。</x:v>
      </x:c>
    </x:row>
    <x:row r="74" ht="72" customHeight="1">
      <x:c r="A74" s="8" t="str">
        <x:v>ST-069</x:v>
      </x:c>
      <x:c r="B74" s="8" t="str">
        <x:v>背包</x:v>
      </x:c>
      <x:c r="C74" s="8" t="str">
        <x:v>SH-51 定向护盾</x:v>
      </x:c>
      <x:c r="D74" s="12" t="n">
        <x:f>'定价参数'!$D$83</x:f>
        <x:v>30000</x:v>
      </x:c>
      <x:c r="E74" s="12" t="n">
        <x:f>ROUND('装备与弹药'!$D$150,2)</x:f>
        <x:v>20000</x:v>
      </x:c>
      <x:c r="F74" s="11" t="n">
        <x:v>0</x:v>
      </x:c>
      <x:c r="G74" s="17" t="n">
        <x:f>SUM(D74:F74)</x:f>
        <x:v>50000</x:v>
      </x:c>
      <x:c r="H74" s="51" t="str">
        <x:v>—</x:v>
      </x:c>
      <x:c r="I74" s="48" t="str">
        <x:v>—</x:v>
      </x:c>
      <x:c r="J74" s="51" t="n">
        <x:v>0</x:v>
      </x:c>
      <x:c r="K74" s="52" t="n">
        <x:f>G74</x:f>
        <x:v>50000</x:v>
      </x:c>
      <x:c r="L74" s="8" t="str">
        <x:v>整次包干</x:v>
      </x:c>
      <x:c r="M74" s="8" t="str">
        <x:v>已含自主武器和能源标准包；被动生效不另记事件费。</x:v>
      </x:c>
      <x:c r="N74" t="str">
        <x:v>https://helldivers.wiki.gg/wiki/SH-51_Directional_Shield</x:v>
      </x:c>
      <x:c r="O74" t="str">
        <x:v>Wiki原文核对；MOD标准价，事件检测待实测</x:v>
      </x:c>
      <x:c r="P74" t="str">
        <x:v>SH-51 Directional Shield</x:v>
      </x:c>
      <x:c r="Q74" t="str">
        <x:v>中文Wiki用名</x:v>
      </x:c>
      <x:c r="R74" s="66" t="str">
        <x:v>—</x:v>
      </x:c>
      <x:c r="S74" s="66" t="str">
        <x:v>—</x:v>
      </x:c>
      <x:c r="T74" s="66" t="str">
        <x:v>—</x:v>
      </x:c>
      <x:c r="U74" s="67" t="str">
        <x:v>向使用者前方生成单向半透能量护盾。 已核对对应装备构造；本体、投送和弹药按现有口径分项。</x:v>
      </x:c>
    </x:row>
    <x:row r="75" ht="72" customHeight="1">
      <x:c r="A75" s="2" t="str">
        <x:v>ST-070</x:v>
      </x:c>
      <x:c r="B75" s="2" t="str">
        <x:v>背包</x:v>
      </x:c>
      <x:c r="C75" s="2" t="str">
        <x:v>AX/FLAM-75 热狗</x:v>
      </x:c>
      <x:c r="D75" s="13" t="n">
        <x:f>'定价参数'!$D$83</x:f>
        <x:v>30000</x:v>
      </x:c>
      <x:c r="E75" s="13" t="n">
        <x:f>ROUND('装备与弹药'!$D$151,2)</x:f>
        <x:v>19800</x:v>
      </x:c>
      <x:c r="F75" s="11" t="n">
        <x:v>2000</x:v>
      </x:c>
      <x:c r="G75" s="18" t="n">
        <x:f>SUM(D75:F75)</x:f>
        <x:v>51800</x:v>
      </x:c>
      <x:c r="H75" s="15" t="str">
        <x:v>—</x:v>
      </x:c>
      <x:c r="I75" s="50" t="str">
        <x:v>—</x:v>
      </x:c>
      <x:c r="J75" s="15" t="n">
        <x:v>0</x:v>
      </x:c>
      <x:c r="K75" s="18" t="n">
        <x:f>G75</x:f>
        <x:v>51800</x:v>
      </x:c>
      <x:c r="L75" s="2" t="str">
        <x:v>整次包干</x:v>
      </x:c>
      <x:c r="M75" s="2" t="str">
        <x:v>已含自主武器和能源标准包；被动生效不另记事件费。</x:v>
      </x:c>
      <x:c r="N75" t="str">
        <x:v>https://helldivers.wiki.gg/wiki/AX/FLAM-75_Hot_Dog</x:v>
      </x:c>
      <x:c r="O75" t="str">
        <x:v>Wiki原文核对；MOD标准价，事件检测待实测</x:v>
      </x:c>
      <x:c r="P75" t="str">
        <x:v>AX/FLAM-75 Hot Dog</x:v>
      </x:c>
      <x:c r="Q75" t="str">
        <x:v>中文Wiki用名</x:v>
      </x:c>
      <x:c r="R75" s="65" t="str">
        <x:v>—</x:v>
      </x:c>
      <x:c r="S75" s="65" t="str">
        <x:v>—</x:v>
      </x:c>
      <x:c r="T75" s="65" t="str">
        <x:v>—</x:v>
      </x:c>
      <x:c r="U75" s="64" t="str">
        <x:v>自动喷火无人机，回背包补燃料。 已核对对应装备构造；本体、投送和弹药按现有口径分项。</x:v>
      </x:c>
    </x:row>
    <x:row r="76" ht="72" customHeight="1">
      <x:c r="A76" s="8" t="str">
        <x:v>ST-071</x:v>
      </x:c>
      <x:c r="B76" s="8" t="str">
        <x:v>背包</x:v>
      </x:c>
      <x:c r="C76" s="8" t="str">
        <x:v>B-100 便携式地狱火炸弹</x:v>
      </x:c>
      <x:c r="D76" s="12" t="n">
        <x:f>'定价参数'!$D$83</x:f>
        <x:v>30000</x:v>
      </x:c>
      <x:c r="E76" s="12" t="n">
        <x:f>ROUND('装备与弹药'!$D$152,2)</x:f>
        <x:v>250000</x:v>
      </x:c>
      <x:c r="F76" s="11" t="n">
        <x:v>0</x:v>
      </x:c>
      <x:c r="G76" s="17" t="n">
        <x:f>SUM(D76:F76)</x:f>
        <x:v>280000</x:v>
      </x:c>
      <x:c r="H76" s="51" t="str">
        <x:v>—</x:v>
      </x:c>
      <x:c r="I76" s="48" t="str">
        <x:v>—</x:v>
      </x:c>
      <x:c r="J76" s="51" t="n">
        <x:v>0</x:v>
      </x:c>
      <x:c r="K76" s="52" t="n">
        <x:f>G76</x:f>
        <x:v>280000</x:v>
      </x:c>
      <x:c r="L76" s="8" t="str">
        <x:v>整次包干</x:v>
      </x:c>
      <x:c r="M76" s="8" t="str">
        <x:v>已含自主武器和能源标准包；被动生效不另记事件费。</x:v>
      </x:c>
      <x:c r="N76" t="str">
        <x:v>https://helldivers.wiki.gg/wiki/B-100_Portable_Hellbomb</x:v>
      </x:c>
      <x:c r="O76" t="str">
        <x:v>Wiki原文核对；MOD标准价，事件检测待实测</x:v>
      </x:c>
      <x:c r="P76" t="str">
        <x:v>B-100 Portable Hellbomb</x:v>
      </x:c>
      <x:c r="Q76" t="str">
        <x:v>中文Wiki用名</x:v>
      </x:c>
      <x:c r="R76" s="66" t="str">
        <x:v>—</x:v>
      </x:c>
      <x:c r="S76" s="66" t="str">
        <x:v>—</x:v>
      </x:c>
      <x:c r="T76" s="66" t="str">
        <x:v>—</x:v>
      </x:c>
      <x:c r="U76" s="67" t="str">
        <x:v>背包式地狱火炸弹，可由使用者或队友启动倒计时。 已核对对应装备构造；本体、投送和弹药按现有口径分项。</x:v>
      </x:c>
    </x:row>
    <x:row r="77" ht="72" customHeight="1">
      <x:c r="A77" s="2" t="str">
        <x:v>ST-072</x:v>
      </x:c>
      <x:c r="B77" s="2" t="str">
        <x:v>背包</x:v>
      </x:c>
      <x:c r="C77" s="2" t="str">
        <x:v>AX/ARC-3 K-9护卫犬</x:v>
      </x:c>
      <x:c r="D77" s="13" t="n">
        <x:f>'定价参数'!$D$83</x:f>
        <x:v>30000</x:v>
      </x:c>
      <x:c r="E77" s="13" t="n">
        <x:f>ROUND('装备与弹药'!$D$153,2)</x:f>
        <x:v>23400</x:v>
      </x:c>
      <x:c r="F77" s="11" t="n">
        <x:v>2000</x:v>
      </x:c>
      <x:c r="G77" s="18" t="n">
        <x:f>SUM(D77:F77)</x:f>
        <x:v>55400</x:v>
      </x:c>
      <x:c r="H77" s="15" t="str">
        <x:v>—</x:v>
      </x:c>
      <x:c r="I77" s="50" t="str">
        <x:v>—</x:v>
      </x:c>
      <x:c r="J77" s="15" t="n">
        <x:v>0</x:v>
      </x:c>
      <x:c r="K77" s="18" t="n">
        <x:f>G77</x:f>
        <x:v>55400</x:v>
      </x:c>
      <x:c r="L77" s="2" t="str">
        <x:v>整次包干</x:v>
      </x:c>
      <x:c r="M77" s="2" t="str">
        <x:v>已含自主武器和能源标准包；被动生效不另记事件费。</x:v>
      </x:c>
      <x:c r="N77" t="str">
        <x:v>https://helldivers.wiki.gg/wiki/AX/ARC-3_K-9</x:v>
      </x:c>
      <x:c r="O77" t="str">
        <x:v>Wiki原文核对；MOD标准价，事件检测待实测</x:v>
      </x:c>
      <x:c r="P77" t="str">
        <x:v>AX/ARC-3 K-9</x:v>
      </x:c>
      <x:c r="Q77" t="str">
        <x:v>说明性译名</x:v>
      </x:c>
      <x:c r="R77" s="65" t="str">
        <x:v>—</x:v>
      </x:c>
      <x:c r="S77" s="65" t="str">
        <x:v>—</x:v>
      </x:c>
      <x:c r="T77" s="65" t="str">
        <x:v>—</x:v>
      </x:c>
      <x:c r="U77" s="64" t="str">
        <x:v>携带改型电弧发射器的自动无人机，无需逐发回包充能。 已核对对应装备构造；本体、投送和弹药按现有口径分项。</x:v>
      </x:c>
    </x:row>
    <x:row r="78" ht="72" customHeight="1">
      <x:c r="A78" s="8" t="str">
        <x:v>ST-073</x:v>
      </x:c>
      <x:c r="B78" s="8" t="str">
        <x:v>背包</x:v>
      </x:c>
      <x:c r="C78" s="8" t="str">
        <x:v>LIFT-860 悬浮背包</x:v>
      </x:c>
      <x:c r="D78" s="12" t="n">
        <x:f>'定价参数'!$D$83</x:f>
        <x:v>30000</x:v>
      </x:c>
      <x:c r="E78" s="12" t="n">
        <x:f>ROUND('装备与弹药'!$D$154,2)</x:f>
        <x:v>21000</x:v>
      </x:c>
      <x:c r="F78" s="11" t="n">
        <x:v>0</x:v>
      </x:c>
      <x:c r="G78" s="17" t="n">
        <x:f>SUM(D78:F78)</x:f>
        <x:v>51000</x:v>
      </x:c>
      <x:c r="H78" s="51" t="str">
        <x:v>—</x:v>
      </x:c>
      <x:c r="I78" s="48" t="str">
        <x:v>—</x:v>
      </x:c>
      <x:c r="J78" s="51" t="n">
        <x:v>0</x:v>
      </x:c>
      <x:c r="K78" s="52" t="n">
        <x:f>G78</x:f>
        <x:v>51000</x:v>
      </x:c>
      <x:c r="L78" s="8" t="str">
        <x:v>整次包干</x:v>
      </x:c>
      <x:c r="M78" s="8" t="str">
        <x:v>已含自主武器和能源标准包；被动生效不另记事件费。</x:v>
      </x:c>
      <x:c r="N78" t="str">
        <x:v>https://helldivers.wiki.gg/wiki/LIFT-860_Hover_Pack</x:v>
      </x:c>
      <x:c r="O78" t="str">
        <x:v>Wiki原文核对；MOD标准价，事件检测待实测</x:v>
      </x:c>
      <x:c r="P78" t="str">
        <x:v>LIFT-860 Hover Pack</x:v>
      </x:c>
      <x:c r="Q78" t="str">
        <x:v>参考译名</x:v>
      </x:c>
      <x:c r="R78" s="66" t="str">
        <x:v>—</x:v>
      </x:c>
      <x:c r="S78" s="66" t="str">
        <x:v>—</x:v>
      </x:c>
      <x:c r="T78" s="66" t="str">
        <x:v>—</x:v>
      </x:c>
      <x:c r="U78" s="67" t="str">
        <x:v>提供短时稳定定高悬浮，之后需恢复充能。 已核对对应装备构造；本体、投送和弹药按现有口径分项。</x:v>
      </x:c>
    </x:row>
    <x:row r="79" ht="72" customHeight="1">
      <x:c r="A79" s="2" t="str">
        <x:v>ST-074</x:v>
      </x:c>
      <x:c r="B79" s="2" t="str">
        <x:v>背包</x:v>
      </x:c>
      <x:c r="C79" s="2" t="str">
        <x:v>AX/TX-13 腐息</x:v>
      </x:c>
      <x:c r="D79" s="13" t="n">
        <x:f>'定价参数'!$D$83</x:f>
        <x:v>30000</x:v>
      </x:c>
      <x:c r="E79" s="13" t="n">
        <x:f>ROUND('装备与弹药'!$D$155,2)</x:f>
        <x:v>19800</x:v>
      </x:c>
      <x:c r="F79" s="11" t="n">
        <x:v>2000</x:v>
      </x:c>
      <x:c r="G79" s="18" t="n">
        <x:f>SUM(D79:F79)</x:f>
        <x:v>51800</x:v>
      </x:c>
      <x:c r="H79" s="15" t="str">
        <x:v>—</x:v>
      </x:c>
      <x:c r="I79" s="50" t="str">
        <x:v>—</x:v>
      </x:c>
      <x:c r="J79" s="15" t="n">
        <x:v>0</x:v>
      </x:c>
      <x:c r="K79" s="18" t="n">
        <x:f>G79</x:f>
        <x:v>51800</x:v>
      </x:c>
      <x:c r="L79" s="2" t="str">
        <x:v>整次包干</x:v>
      </x:c>
      <x:c r="M79" s="2" t="str">
        <x:v>已含自主武器和能源标准包；被动生效不另记事件费。</x:v>
      </x:c>
      <x:c r="N79" t="str">
        <x:v>https://helldivers.wiki.gg/wiki/AX/TX-13_Dog_Breath</x:v>
      </x:c>
      <x:c r="O79" t="str">
        <x:v>Wiki原文核对；MOD标准价，事件检测待实测</x:v>
      </x:c>
      <x:c r="P79" t="str">
        <x:v>AX/TX-13 Dog Breath</x:v>
      </x:c>
      <x:c r="Q79" t="str">
        <x:v>中文Wiki用名</x:v>
      </x:c>
      <x:c r="R79" s="65" t="str">
        <x:v>—</x:v>
      </x:c>
      <x:c r="S79" s="65" t="str">
        <x:v>—</x:v>
      </x:c>
      <x:c r="T79" s="65" t="str">
        <x:v>—</x:v>
      </x:c>
      <x:c r="U79" s="64" t="str">
        <x:v>腐蚀气体无人机，回背包补充药剂。 已核对对应装备构造；本体、投送和弹药按现有口径分项。</x:v>
      </x:c>
    </x:row>
    <x:row r="80" ht="72" customHeight="1">
      <x:c r="A80" s="8" t="str">
        <x:v>ST-075</x:v>
      </x:c>
      <x:c r="B80" s="8" t="str">
        <x:v>背包</x:v>
      </x:c>
      <x:c r="C80" s="8" t="str">
        <x:v>LIFT-182 跃迁背包</x:v>
      </x:c>
      <x:c r="D80" s="12" t="n">
        <x:f>'定价参数'!$D$83</x:f>
        <x:v>30000</x:v>
      </x:c>
      <x:c r="E80" s="12" t="n">
        <x:f>ROUND('装备与弹药'!$D$156,2)</x:f>
        <x:v>300000</x:v>
      </x:c>
      <x:c r="F80" s="11" t="n">
        <x:v>0</x:v>
      </x:c>
      <x:c r="G80" s="17" t="n">
        <x:f>SUM(D80:F80)</x:f>
        <x:v>330000</x:v>
      </x:c>
      <x:c r="H80" s="51" t="str">
        <x:v>—</x:v>
      </x:c>
      <x:c r="I80" s="48" t="str">
        <x:v>—</x:v>
      </x:c>
      <x:c r="J80" s="51" t="n">
        <x:v>0</x:v>
      </x:c>
      <x:c r="K80" s="52" t="n">
        <x:f>G80</x:f>
        <x:v>330000</x:v>
      </x:c>
      <x:c r="L80" s="8" t="str">
        <x:v>整次包干</x:v>
      </x:c>
      <x:c r="M80" s="8" t="str">
        <x:v>已含自主武器和能源标准包；被动生效不另记事件费。</x:v>
      </x:c>
      <x:c r="N80" t="str">
        <x:v>https://helldivers.wiki.gg/wiki/LIFT-182_Warp_Pack</x:v>
      </x:c>
      <x:c r="O80" t="str">
        <x:v>Wiki原文核对；MOD标准价，事件检测待实测</x:v>
      </x:c>
      <x:c r="P80" t="str">
        <x:v>LIFT-182 Warp Pack</x:v>
      </x:c>
      <x:c r="Q80" t="str">
        <x:v>参考译名</x:v>
      </x:c>
      <x:c r="R80" s="66" t="str">
        <x:v>—</x:v>
      </x:c>
      <x:c r="S80" s="66" t="str">
        <x:v>—</x:v>
      </x:c>
      <x:c r="T80" s="66" t="str">
        <x:v>—</x:v>
      </x:c>
      <x:c r="U80" s="67" t="str">
        <x:v>暗物质驱动的便携微型虫洞背包，可短距离传送。 已核对对应装备构造；本体、投送和弹药按现有口径分项。</x:v>
      </x:c>
    </x:row>
    <x:row r="81" ht="72" customHeight="1">
      <x:c r="A81" s="2" t="str">
        <x:v>ST-076</x:v>
      </x:c>
      <x:c r="B81" s="2" t="str">
        <x:v>补给</x:v>
      </x:c>
      <x:c r="C81" s="2" t="str">
        <x:v>重新补给</x:v>
      </x:c>
      <x:c r="D81" s="13" t="n">
        <x:f>'定价参数'!$D$83</x:f>
        <x:v>30000</x:v>
      </x:c>
      <x:c r="E81" s="16" t="n">
        <x:v>500</x:v>
      </x:c>
      <x:c r="F81" s="11" t="n">
        <x:v>0</x:v>
      </x:c>
      <x:c r="G81" s="18" t="n">
        <x:f>SUM(D81:F81)</x:f>
        <x:v>30500</x:v>
      </x:c>
      <x:c r="H81" s="15" t="str">
        <x:v>—</x:v>
      </x:c>
      <x:c r="I81" s="50" t="str">
        <x:v>—</x:v>
      </x:c>
      <x:c r="J81" s="15" t="n">
        <x:v>0</x:v>
      </x:c>
      <x:c r="K81" s="18" t="n">
        <x:f>G81</x:f>
        <x:v>30500</x:v>
      </x:c>
      <x:c r="L81" s="2" t="str">
        <x:v>补给消耗另记</x:v>
      </x:c>
      <x:c r="M81" s="2" t="str">
        <x:v>只记舱体和投送；领取/转移弹药不另记消费，射出或丢弃才计费。</x:v>
      </x:c>
      <x:c r="N81" t="str">
        <x:v>https://helldivers.wiki.gg/wiki/Resupply</x:v>
      </x:c>
      <x:c r="O81" t="str">
        <x:v>Wiki原文核对；MOD标准价，事件检测待实测</x:v>
      </x:c>
      <x:c r="P81" t="str">
        <x:v>Resupply</x:v>
      </x:c>
      <x:c r="Q81" t="str">
        <x:v>中文Wiki用名</x:v>
      </x:c>
      <x:c r="R81" s="65" t="str">
        <x:v>—</x:v>
      </x:c>
      <x:c r="S81" s="65" t="str">
        <x:v>—</x:v>
      </x:c>
      <x:c r="T81" s="65" t="str">
        <x:v>—</x:v>
      </x:c>
      <x:c r="U81" s="64" t="str">
        <x:v>投送四个补给箱；补给进入库存不等于消耗。 已核对对应装备构造；本体、投送和弹药按现有口径分项。</x:v>
      </x:c>
    </x:row>
    <x:row r="82" ht="72" customHeight="1">
      <x:c r="A82" s="8" t="str">
        <x:v>ST-077</x:v>
      </x:c>
      <x:c r="B82" s="8" t="str">
        <x:v>防御/阵地</x:v>
      </x:c>
      <x:c r="C82" s="8" t="str">
        <x:v>A/MG-43 哨戒机枪</x:v>
      </x:c>
      <x:c r="D82" s="12" t="n">
        <x:f>'定价参数'!$D$83</x:f>
        <x:v>30000</x:v>
      </x:c>
      <x:c r="E82" s="16" t="n">
        <x:v>20000</x:v>
      </x:c>
      <x:c r="F82" s="11" t="n">
        <x:v>2000</x:v>
      </x:c>
      <x:c r="G82" s="17" t="n">
        <x:f>SUM(D82:F82)</x:f>
        <x:v>52000</x:v>
      </x:c>
      <x:c r="H82" s="51" t="str">
        <x:v>—</x:v>
      </x:c>
      <x:c r="I82" s="48" t="str">
        <x:v>—</x:v>
      </x:c>
      <x:c r="J82" s="51" t="n">
        <x:v>0</x:v>
      </x:c>
      <x:c r="K82" s="52" t="n">
        <x:f>G82</x:f>
        <x:v>52000</x:v>
      </x:c>
      <x:c r="L82" s="8" t="str">
        <x:v>整次包干</x:v>
      </x:c>
      <x:c r="M82" s="8" t="str">
        <x:v>整套设备及标准弹药/能源包；自动射击和地雷爆炸不再计费。</x:v>
      </x:c>
      <x:c r="N82" t="str">
        <x:v>https://helldivers.wiki.gg/wiki/A/MG-43_Machine_Gun_Sentry</x:v>
      </x:c>
      <x:c r="O82" t="str">
        <x:v>Wiki原文核对；MOD标准价，事件检测待实测</x:v>
      </x:c>
      <x:c r="P82" t="str">
        <x:v>A/MG-43 Machine Gun Sentry</x:v>
      </x:c>
      <x:c r="Q82" t="str">
        <x:v>中文Wiki用名</x:v>
      </x:c>
      <x:c r="R82" s="66" t="str">
        <x:v>—</x:v>
      </x:c>
      <x:c r="S82" s="66" t="str">
        <x:v>—</x:v>
      </x:c>
      <x:c r="T82" s="66" t="str">
        <x:v>—</x:v>
      </x:c>
      <x:c r="U82" s="67" t="str">
        <x:v>自动机枪炮塔，持续打击轻中型目标。 保留自动/有人防御系统与整套装药保障价，后续射击或地雷触发不重复记费。</x:v>
      </x:c>
    </x:row>
    <x:row r="83" ht="72" customHeight="1">
      <x:c r="A83" s="2" t="str">
        <x:v>ST-078</x:v>
      </x:c>
      <x:c r="B83" s="2" t="str">
        <x:v>防御/阵地</x:v>
      </x:c>
      <x:c r="C83" s="2" t="str">
        <x:v>A/G-16 加特林哨戒炮</x:v>
      </x:c>
      <x:c r="D83" s="13" t="n">
        <x:f>'定价参数'!$D$83</x:f>
        <x:v>30000</x:v>
      </x:c>
      <x:c r="E83" s="16" t="n">
        <x:v>30000</x:v>
      </x:c>
      <x:c r="F83" s="11" t="n">
        <x:v>4000</x:v>
      </x:c>
      <x:c r="G83" s="18" t="n">
        <x:f>SUM(D83:F83)</x:f>
        <x:v>64000</x:v>
      </x:c>
      <x:c r="H83" s="15" t="str">
        <x:v>—</x:v>
      </x:c>
      <x:c r="I83" s="50" t="str">
        <x:v>—</x:v>
      </x:c>
      <x:c r="J83" s="15" t="n">
        <x:v>0</x:v>
      </x:c>
      <x:c r="K83" s="18" t="n">
        <x:f>G83</x:f>
        <x:v>64000</x:v>
      </x:c>
      <x:c r="L83" s="2" t="str">
        <x:v>整次包干</x:v>
      </x:c>
      <x:c r="M83" s="2" t="str">
        <x:v>整套设备及标准弹药/能源包；自动射击和地雷爆炸不再计费。</x:v>
      </x:c>
      <x:c r="N83" t="str">
        <x:v>https://helldivers.wiki.gg/wiki/A/G-16_Gatling_Sentry</x:v>
      </x:c>
      <x:c r="O83" t="str">
        <x:v>Wiki原文核对；MOD标准价，事件检测待实测</x:v>
      </x:c>
      <x:c r="P83" t="str">
        <x:v>A/G-16 Gatling Sentry</x:v>
      </x:c>
      <x:c r="Q83" t="str">
        <x:v>中文Wiki用名</x:v>
      </x:c>
      <x:c r="R83" s="65" t="str">
        <x:v>—</x:v>
      </x:c>
      <x:c r="S83" s="65" t="str">
        <x:v>—</x:v>
      </x:c>
      <x:c r="T83" s="65" t="str">
        <x:v>—</x:v>
      </x:c>
      <x:c r="U83" s="64" t="str">
        <x:v>极高射速自动转管炮塔。 保留自动/有人防御系统与整套装药保障价，后续射击或地雷触发不重复记费。</x:v>
      </x:c>
    </x:row>
    <x:row r="84" ht="72" customHeight="1">
      <x:c r="A84" s="8" t="str">
        <x:v>ST-079</x:v>
      </x:c>
      <x:c r="B84" s="8" t="str">
        <x:v>防御/阵地</x:v>
      </x:c>
      <x:c r="C84" s="8" t="str">
        <x:v>A/AC-8 自动哨戒炮</x:v>
      </x:c>
      <x:c r="D84" s="12" t="n">
        <x:f>'定价参数'!$D$83</x:f>
        <x:v>30000</x:v>
      </x:c>
      <x:c r="E84" s="16" t="n">
        <x:v>60000</x:v>
      </x:c>
      <x:c r="F84" s="11" t="n">
        <x:v>24000</x:v>
      </x:c>
      <x:c r="G84" s="17" t="n">
        <x:f>SUM(D84:F84)</x:f>
        <x:v>114000</x:v>
      </x:c>
      <x:c r="H84" s="51" t="str">
        <x:v>—</x:v>
      </x:c>
      <x:c r="I84" s="48" t="str">
        <x:v>—</x:v>
      </x:c>
      <x:c r="J84" s="51" t="n">
        <x:v>0</x:v>
      </x:c>
      <x:c r="K84" s="52" t="n">
        <x:f>G84</x:f>
        <x:v>114000</x:v>
      </x:c>
      <x:c r="L84" s="8" t="str">
        <x:v>整次包干</x:v>
      </x:c>
      <x:c r="M84" s="8" t="str">
        <x:v>整套设备及标准弹药/能源包；自动射击和地雷爆炸不再计费。</x:v>
      </x:c>
      <x:c r="N84" t="str">
        <x:v>https://helldivers.wiki.gg/wiki/A/AC-8_Autocannon_Sentry</x:v>
      </x:c>
      <x:c r="O84" t="str">
        <x:v>Wiki原文核对；MOD标准价，事件检测待实测</x:v>
      </x:c>
      <x:c r="P84" t="str">
        <x:v>A/AC-8 Autocannon Sentry</x:v>
      </x:c>
      <x:c r="Q84" t="str">
        <x:v>中文Wiki用名</x:v>
      </x:c>
      <x:c r="R84" s="66" t="str">
        <x:v>—</x:v>
      </x:c>
      <x:c r="S84" s="66" t="str">
        <x:v>—</x:v>
      </x:c>
      <x:c r="T84" s="66" t="str">
        <x:v>—</x:v>
      </x:c>
      <x:c r="U84" s="67" t="str">
        <x:v>自动长距离反坦克机炮塔，弹药强于AC-8步兵机炮。 自动炮塔专用反坦克炮弹强于步兵AC-8弹药；保持整包计费。</x:v>
      </x:c>
    </x:row>
    <x:row r="85" ht="72" customHeight="1">
      <x:c r="A85" s="2" t="str">
        <x:v>ST-080</x:v>
      </x:c>
      <x:c r="B85" s="2" t="str">
        <x:v>防御/阵地</x:v>
      </x:c>
      <x:c r="C85" s="2" t="str">
        <x:v>A/M-12 迫击哨戒炮</x:v>
      </x:c>
      <x:c r="D85" s="13" t="n">
        <x:f>'定价参数'!$D$83</x:f>
        <x:v>30000</x:v>
      </x:c>
      <x:c r="E85" s="16" t="n">
        <x:v>25000</x:v>
      </x:c>
      <x:c r="F85" s="11" t="n">
        <x:v>8000</x:v>
      </x:c>
      <x:c r="G85" s="18" t="n">
        <x:f>SUM(D85:F85)</x:f>
        <x:v>63000</x:v>
      </x:c>
      <x:c r="H85" s="15" t="str">
        <x:v>—</x:v>
      </x:c>
      <x:c r="I85" s="50" t="str">
        <x:v>—</x:v>
      </x:c>
      <x:c r="J85" s="15" t="n">
        <x:v>0</x:v>
      </x:c>
      <x:c r="K85" s="18" t="n">
        <x:f>G85</x:f>
        <x:v>63000</x:v>
      </x:c>
      <x:c r="L85" s="2" t="str">
        <x:v>整次包干</x:v>
      </x:c>
      <x:c r="M85" s="2" t="str">
        <x:v>整套设备及标准弹药/能源包；自动射击和地雷爆炸不再计费。</x:v>
      </x:c>
      <x:c r="N85" t="str">
        <x:v>https://helldivers.wiki.gg/wiki/A/M-12_Mortar_Sentry</x:v>
      </x:c>
      <x:c r="O85" t="str">
        <x:v>Wiki原文核对；MOD标准价，事件检测待实测</x:v>
      </x:c>
      <x:c r="P85" t="str">
        <x:v>A/M-12 Mortar Sentry</x:v>
      </x:c>
      <x:c r="Q85" t="str">
        <x:v>中文Wiki用名</x:v>
      </x:c>
      <x:c r="R85" s="65" t="str">
        <x:v>—</x:v>
      </x:c>
      <x:c r="S85" s="65" t="str">
        <x:v>—</x:v>
      </x:c>
      <x:c r="T85" s="65" t="str">
        <x:v>—</x:v>
      </x:c>
      <x:c r="U85" s="64" t="str">
        <x:v>高弹道迫击炮塔，可击中掩体后目标。 保留自动/有人防御系统与整套装药保障价，后续射击或地雷触发不重复记费。</x:v>
      </x:c>
    </x:row>
    <x:row r="86" ht="72" customHeight="1">
      <x:c r="A86" s="8" t="str">
        <x:v>ST-081</x:v>
      </x:c>
      <x:c r="B86" s="8" t="str">
        <x:v>防御/阵地</x:v>
      </x:c>
      <x:c r="C86" s="8" t="str">
        <x:v>A/MLS-4X 火箭哨戒炮</x:v>
      </x:c>
      <x:c r="D86" s="12" t="n">
        <x:f>'定价参数'!$D$83</x:f>
        <x:v>30000</x:v>
      </x:c>
      <x:c r="E86" s="16" t="n">
        <x:v>40000</x:v>
      </x:c>
      <x:c r="F86" s="11" t="n">
        <x:v>24000</x:v>
      </x:c>
      <x:c r="G86" s="17" t="n">
        <x:f>SUM(D86:F86)</x:f>
        <x:v>94000</x:v>
      </x:c>
      <x:c r="H86" s="51" t="str">
        <x:v>—</x:v>
      </x:c>
      <x:c r="I86" s="48" t="str">
        <x:v>—</x:v>
      </x:c>
      <x:c r="J86" s="51" t="n">
        <x:v>0</x:v>
      </x:c>
      <x:c r="K86" s="52" t="n">
        <x:f>G86</x:f>
        <x:v>94000</x:v>
      </x:c>
      <x:c r="L86" s="8" t="str">
        <x:v>整次包干</x:v>
      </x:c>
      <x:c r="M86" s="8" t="str">
        <x:v>整套设备及标准弹药/能源包；自动射击和地雷爆炸不再计费。</x:v>
      </x:c>
      <x:c r="N86" t="str">
        <x:v>https://helldivers.wiki.gg/wiki/A/MLS-4X_Rocket_Sentry</x:v>
      </x:c>
      <x:c r="O86" t="str">
        <x:v>Wiki原文核对；MOD标准价，事件检测待实测</x:v>
      </x:c>
      <x:c r="P86" t="str">
        <x:v>A/MLS-4X Rocket Sentry</x:v>
      </x:c>
      <x:c r="Q86" t="str">
        <x:v>中文Wiki用名</x:v>
      </x:c>
      <x:c r="R86" s="66" t="str">
        <x:v>—</x:v>
      </x:c>
      <x:c r="S86" s="66" t="str">
        <x:v>—</x:v>
      </x:c>
      <x:c r="T86" s="66" t="str">
        <x:v>—</x:v>
      </x:c>
      <x:c r="U86" s="67" t="str">
        <x:v>优先打击大型装甲目标的自动火箭炮塔。 保留自动/有人防御系统与整套装药保障价，后续射击或地雷触发不重复记费。</x:v>
      </x:c>
    </x:row>
    <x:row r="87" ht="72" customHeight="1">
      <x:c r="A87" s="2" t="str">
        <x:v>ST-082</x:v>
      </x:c>
      <x:c r="B87" s="2" t="str">
        <x:v>防御/阵地</x:v>
      </x:c>
      <x:c r="C87" s="2" t="str">
        <x:v>A/ARC-3 特斯拉塔</x:v>
      </x:c>
      <x:c r="D87" s="13" t="n">
        <x:f>'定价参数'!$D$83</x:f>
        <x:v>30000</x:v>
      </x:c>
      <x:c r="E87" s="16" t="n">
        <x:v>35000</x:v>
      </x:c>
      <x:c r="F87" s="11" t="n">
        <x:v>1500</x:v>
      </x:c>
      <x:c r="G87" s="18" t="n">
        <x:f>SUM(D87:F87)</x:f>
        <x:v>66500</x:v>
      </x:c>
      <x:c r="H87" s="15" t="str">
        <x:v>—</x:v>
      </x:c>
      <x:c r="I87" s="50" t="str">
        <x:v>—</x:v>
      </x:c>
      <x:c r="J87" s="15" t="n">
        <x:v>0</x:v>
      </x:c>
      <x:c r="K87" s="18" t="n">
        <x:f>G87</x:f>
        <x:v>66500</x:v>
      </x:c>
      <x:c r="L87" s="2" t="str">
        <x:v>整次包干</x:v>
      </x:c>
      <x:c r="M87" s="2" t="str">
        <x:v>整套设备及标准弹药/能源包；自动射击和地雷爆炸不再计费。</x:v>
      </x:c>
      <x:c r="N87" t="str">
        <x:v>https://helldivers.wiki.gg/wiki/A/ARC-3_Tesla_Tower</x:v>
      </x:c>
      <x:c r="O87" t="str">
        <x:v>Wiki原文核对；MOD标准价，事件检测待实测</x:v>
      </x:c>
      <x:c r="P87" t="str">
        <x:v>A/ARC-3 Tesla Tower</x:v>
      </x:c>
      <x:c r="Q87" t="str">
        <x:v>中文Wiki用名</x:v>
      </x:c>
      <x:c r="R87" s="65" t="str">
        <x:v>—</x:v>
      </x:c>
      <x:c r="S87" s="65" t="str">
        <x:v>—</x:v>
      </x:c>
      <x:c r="T87" s="65" t="str">
        <x:v>—</x:v>
      </x:c>
      <x:c r="U87" s="64" t="str">
        <x:v>近距离多目标高压电弧塔。 保留自动/有人防御系统与整套装药保障价，后续射击或地雷触发不重复记费。</x:v>
      </x:c>
    </x:row>
    <x:row r="88" ht="72" customHeight="1">
      <x:c r="A88" s="8" t="str">
        <x:v>ST-083</x:v>
      </x:c>
      <x:c r="B88" s="8" t="str">
        <x:v>防御/阵地</x:v>
      </x:c>
      <x:c r="C88" s="8" t="str">
        <x:v>A/M-23 电磁冲击波迫击哨戒炮</x:v>
      </x:c>
      <x:c r="D88" s="12" t="n">
        <x:f>'定价参数'!$D$83</x:f>
        <x:v>30000</x:v>
      </x:c>
      <x:c r="E88" s="16" t="n">
        <x:v>35000</x:v>
      </x:c>
      <x:c r="F88" s="11" t="n">
        <x:v>24000</x:v>
      </x:c>
      <x:c r="G88" s="17" t="n">
        <x:f>SUM(D88:F88)</x:f>
        <x:v>89000</x:v>
      </x:c>
      <x:c r="H88" s="51" t="str">
        <x:v>—</x:v>
      </x:c>
      <x:c r="I88" s="48" t="str">
        <x:v>—</x:v>
      </x:c>
      <x:c r="J88" s="51" t="n">
        <x:v>0</x:v>
      </x:c>
      <x:c r="K88" s="52" t="n">
        <x:f>G88</x:f>
        <x:v>89000</x:v>
      </x:c>
      <x:c r="L88" s="8" t="str">
        <x:v>整次包干</x:v>
      </x:c>
      <x:c r="M88" s="8" t="str">
        <x:v>整套设备及标准弹药/能源包；自动射击和地雷爆炸不再计费。</x:v>
      </x:c>
      <x:c r="N88" t="str">
        <x:v>https://helldivers.wiki.gg/wiki/A/M-23_EMS_Mortar_Sentry</x:v>
      </x:c>
      <x:c r="O88" t="str">
        <x:v>Wiki原文核对；MOD标准价，事件检测待实测</x:v>
      </x:c>
      <x:c r="P88" t="str">
        <x:v>A/M-23 EMS Mortar Sentry</x:v>
      </x:c>
      <x:c r="Q88" t="str">
        <x:v>中文Wiki用名</x:v>
      </x:c>
      <x:c r="R88" s="66" t="str">
        <x:v>—</x:v>
      </x:c>
      <x:c r="S88" s="66" t="str">
        <x:v>—</x:v>
      </x:c>
      <x:c r="T88" s="66" t="str">
        <x:v>—</x:v>
      </x:c>
      <x:c r="U88" s="67" t="str">
        <x:v>自动迫击炮投射静电场发生器。 整组可投射静电场发生器提高标准装药包价值。</x:v>
      </x:c>
    </x:row>
    <x:row r="89" ht="72" customHeight="1">
      <x:c r="A89" s="2" t="str">
        <x:v>ST-084</x:v>
      </x:c>
      <x:c r="B89" s="2" t="str">
        <x:v>防御/阵地</x:v>
      </x:c>
      <x:c r="C89" s="2" t="str">
        <x:v>A/LAS-98 激光哨戒炮</x:v>
      </x:c>
      <x:c r="D89" s="13" t="n">
        <x:f>'定价参数'!$D$83</x:f>
        <x:v>30000</x:v>
      </x:c>
      <x:c r="E89" s="16" t="n">
        <x:v>70000</x:v>
      </x:c>
      <x:c r="F89" s="11" t="n">
        <x:v>2000</x:v>
      </x:c>
      <x:c r="G89" s="18" t="n">
        <x:f>SUM(D89:F89)</x:f>
        <x:v>102000</x:v>
      </x:c>
      <x:c r="H89" s="15" t="str">
        <x:v>—</x:v>
      </x:c>
      <x:c r="I89" s="50" t="str">
        <x:v>—</x:v>
      </x:c>
      <x:c r="J89" s="15" t="n">
        <x:v>0</x:v>
      </x:c>
      <x:c r="K89" s="18" t="n">
        <x:f>G89</x:f>
        <x:v>102000</x:v>
      </x:c>
      <x:c r="L89" s="2" t="str">
        <x:v>整次包干</x:v>
      </x:c>
      <x:c r="M89" s="2" t="str">
        <x:v>整套设备及标准弹药/能源包；自动射击和地雷爆炸不再计费。</x:v>
      </x:c>
      <x:c r="N89" t="str">
        <x:v>https://helldivers.wiki.gg/wiki/A/LAS-98_Laser_Sentry</x:v>
      </x:c>
      <x:c r="O89" t="str">
        <x:v>Wiki原文核对；MOD标准价，事件检测待实测</x:v>
      </x:c>
      <x:c r="P89" t="str">
        <x:v>A/LAS-98 Laser Sentry</x:v>
      </x:c>
      <x:c r="Q89" t="str">
        <x:v>中文Wiki用名</x:v>
      </x:c>
      <x:c r="R89" s="65" t="str">
        <x:v>—</x:v>
      </x:c>
      <x:c r="S89" s="65" t="str">
        <x:v>—</x:v>
      </x:c>
      <x:c r="T89" s="65" t="str">
        <x:v>—</x:v>
      </x:c>
      <x:c r="U89" s="64" t="str">
        <x:v>精确高能激光炮塔，带热管理及过载限制。 保留自动/有人防御系统与整套装药保障价，后续射击或地雷触发不重复记费。</x:v>
      </x:c>
    </x:row>
    <x:row r="90" ht="72" customHeight="1">
      <x:c r="A90" s="8" t="str">
        <x:v>ST-085</x:v>
      </x:c>
      <x:c r="B90" s="8" t="str">
        <x:v>防御/阵地</x:v>
      </x:c>
      <x:c r="C90" s="8" t="str">
        <x:v>A/FLAM-40 火焰喷射哨戒炮</x:v>
      </x:c>
      <x:c r="D90" s="12" t="n">
        <x:f>'定价参数'!$D$83</x:f>
        <x:v>30000</x:v>
      </x:c>
      <x:c r="E90" s="16" t="n">
        <x:v>25000</x:v>
      </x:c>
      <x:c r="F90" s="11" t="n">
        <x:v>3000</x:v>
      </x:c>
      <x:c r="G90" s="17" t="n">
        <x:f>SUM(D90:F90)</x:f>
        <x:v>58000</x:v>
      </x:c>
      <x:c r="H90" s="51" t="str">
        <x:v>—</x:v>
      </x:c>
      <x:c r="I90" s="48" t="str">
        <x:v>—</x:v>
      </x:c>
      <x:c r="J90" s="51" t="n">
        <x:v>0</x:v>
      </x:c>
      <x:c r="K90" s="52" t="n">
        <x:f>G90</x:f>
        <x:v>58000</x:v>
      </x:c>
      <x:c r="L90" s="8" t="str">
        <x:v>整次包干</x:v>
      </x:c>
      <x:c r="M90" s="8" t="str">
        <x:v>整套设备及标准弹药/能源包；自动射击和地雷爆炸不再计费。</x:v>
      </x:c>
      <x:c r="N90" t="str">
        <x:v>https://helldivers.wiki.gg/wiki/A/FLAM-40_Flame_Sentry</x:v>
      </x:c>
      <x:c r="O90" t="str">
        <x:v>Wiki原文核对；MOD标准价，事件检测待实测</x:v>
      </x:c>
      <x:c r="P90" t="str">
        <x:v>A/FLAM-40 Flame Sentry</x:v>
      </x:c>
      <x:c r="Q90" t="str">
        <x:v>中文Wiki用名</x:v>
      </x:c>
      <x:c r="R90" s="66" t="str">
        <x:v>—</x:v>
      </x:c>
      <x:c r="S90" s="66" t="str">
        <x:v>—</x:v>
      </x:c>
      <x:c r="T90" s="66" t="str">
        <x:v>—</x:v>
      </x:c>
      <x:c r="U90" s="67" t="str">
        <x:v>自动火焰炮塔，燃料罐被击破可能爆炸。 保留自动/有人防御系统与整套装药保障价，后续射击或地雷触发不重复记费。</x:v>
      </x:c>
    </x:row>
    <x:row r="91" ht="72" customHeight="1">
      <x:c r="A91" s="2" t="str">
        <x:v>ST-086</x:v>
      </x:c>
      <x:c r="B91" s="2" t="str">
        <x:v>防御/阵地</x:v>
      </x:c>
      <x:c r="C91" s="2" t="str">
        <x:v>A/GM-17 瓦斯迫击哨戒炮</x:v>
      </x:c>
      <x:c r="D91" s="13" t="n">
        <x:f>'定价参数'!$D$83</x:f>
        <x:v>30000</x:v>
      </x:c>
      <x:c r="E91" s="16" t="n">
        <x:v>30000</x:v>
      </x:c>
      <x:c r="F91" s="11" t="n">
        <x:v>10000</x:v>
      </x:c>
      <x:c r="G91" s="18" t="n">
        <x:f>SUM(D91:F91)</x:f>
        <x:v>70000</x:v>
      </x:c>
      <x:c r="H91" s="15" t="str">
        <x:v>—</x:v>
      </x:c>
      <x:c r="I91" s="50" t="str">
        <x:v>—</x:v>
      </x:c>
      <x:c r="J91" s="15" t="n">
        <x:v>0</x:v>
      </x:c>
      <x:c r="K91" s="18" t="n">
        <x:f>G91</x:f>
        <x:v>70000</x:v>
      </x:c>
      <x:c r="L91" s="2" t="str">
        <x:v>整次包干</x:v>
      </x:c>
      <x:c r="M91" s="2" t="str">
        <x:v>整套设备及标准弹药/能源包；自动射击和地雷爆炸不再计费。</x:v>
      </x:c>
      <x:c r="N91" t="str">
        <x:v>https://helldivers.wiki.gg/wiki/A/GM-17_Gas_Mortar_Sentry</x:v>
      </x:c>
      <x:c r="O91" t="str">
        <x:v>Wiki原文核对；MOD标准价，事件检测待实测</x:v>
      </x:c>
      <x:c r="P91" t="str">
        <x:v>A/GM-17 Gas Mortar Sentry</x:v>
      </x:c>
      <x:c r="Q91" t="str">
        <x:v>中文Wiki用名</x:v>
      </x:c>
      <x:c r="R91" s="65" t="str">
        <x:v>—</x:v>
      </x:c>
      <x:c r="S91" s="65" t="str">
        <x:v>—</x:v>
      </x:c>
      <x:c r="T91" s="65" t="str">
        <x:v>—</x:v>
      </x:c>
      <x:c r="U91" s="64" t="str">
        <x:v>自动毒气迫击炮，优先瞄准尚未受药剂影响的目标。 保留自动/有人防御系统与整套装药保障价，后续射击或地雷触发不重复记费。</x:v>
      </x:c>
    </x:row>
    <x:row r="92" ht="72" customHeight="1">
      <x:c r="A92" s="8" t="str">
        <x:v>ST-087</x:v>
      </x:c>
      <x:c r="B92" s="8" t="str">
        <x:v>防御/阵地</x:v>
      </x:c>
      <x:c r="C92" s="8" t="str">
        <x:v>MD-6 反步兵雷区</x:v>
      </x:c>
      <x:c r="D92" s="12" t="n">
        <x:f>'定价参数'!$D$83</x:f>
        <x:v>30000</x:v>
      </x:c>
      <x:c r="E92" s="16" t="n">
        <x:v>1000</x:v>
      </x:c>
      <x:c r="F92" s="11" t="n">
        <x:v>10000</x:v>
      </x:c>
      <x:c r="G92" s="17" t="n">
        <x:f>SUM(D92:F92)</x:f>
        <x:v>41000</x:v>
      </x:c>
      <x:c r="H92" s="51" t="str">
        <x:v>—</x:v>
      </x:c>
      <x:c r="I92" s="48" t="str">
        <x:v>—</x:v>
      </x:c>
      <x:c r="J92" s="51" t="n">
        <x:v>0</x:v>
      </x:c>
      <x:c r="K92" s="52" t="n">
        <x:f>G92</x:f>
        <x:v>41000</x:v>
      </x:c>
      <x:c r="L92" s="8" t="str">
        <x:v>整次包干</x:v>
      </x:c>
      <x:c r="M92" s="8" t="str">
        <x:v>整套设备及标准弹药/能源包；自动射击和地雷爆炸不再计费。</x:v>
      </x:c>
      <x:c r="N92" t="str">
        <x:v>https://helldivers.wiki.gg/wiki/MD-6_Anti-Personnel_Minefield</x:v>
      </x:c>
      <x:c r="O92" t="str">
        <x:v>Wiki原文核对；MOD标准价，事件检测待实测</x:v>
      </x:c>
      <x:c r="P92" t="str">
        <x:v>MD-6 Anti-Personnel Minefield</x:v>
      </x:c>
      <x:c r="Q92" t="str">
        <x:v>中文Wiki用名</x:v>
      </x:c>
      <x:c r="R92" s="66" t="str">
        <x:v>—</x:v>
      </x:c>
      <x:c r="S92" s="66" t="str">
        <x:v>—</x:v>
      </x:c>
      <x:c r="T92" s="66" t="str">
        <x:v>—</x:v>
      </x:c>
      <x:c r="U92" s="67" t="str">
        <x:v>部署阻挡推进的反人员地雷群。 保留自动/有人防御系统与整套装药保障价，后续射击或地雷触发不重复记费。</x:v>
      </x:c>
    </x:row>
    <x:row r="93" ht="72" customHeight="1">
      <x:c r="A93" s="2" t="str">
        <x:v>ST-088</x:v>
      </x:c>
      <x:c r="B93" s="2" t="str">
        <x:v>防御/阵地</x:v>
      </x:c>
      <x:c r="C93" s="2" t="str">
        <x:v>MD-I4 燃烧地雷</x:v>
      </x:c>
      <x:c r="D93" s="13" t="n">
        <x:f>'定价参数'!$D$83</x:f>
        <x:v>30000</x:v>
      </x:c>
      <x:c r="E93" s="16" t="n">
        <x:v>1000</x:v>
      </x:c>
      <x:c r="F93" s="11" t="n">
        <x:v>15000</x:v>
      </x:c>
      <x:c r="G93" s="18" t="n">
        <x:f>SUM(D93:F93)</x:f>
        <x:v>46000</x:v>
      </x:c>
      <x:c r="H93" s="15" t="str">
        <x:v>—</x:v>
      </x:c>
      <x:c r="I93" s="50" t="str">
        <x:v>—</x:v>
      </x:c>
      <x:c r="J93" s="15" t="n">
        <x:v>0</x:v>
      </x:c>
      <x:c r="K93" s="18" t="n">
        <x:f>G93</x:f>
        <x:v>46000</x:v>
      </x:c>
      <x:c r="L93" s="2" t="str">
        <x:v>整次包干</x:v>
      </x:c>
      <x:c r="M93" s="2" t="str">
        <x:v>整套设备及标准弹药/能源包；自动射击和地雷爆炸不再计费。</x:v>
      </x:c>
      <x:c r="N93" t="str">
        <x:v>https://helldivers.wiki.gg/wiki/MD-I4_Incendiary_Mines</x:v>
      </x:c>
      <x:c r="O93" t="str">
        <x:v>Wiki原文核对；MOD标准价，事件检测待实测</x:v>
      </x:c>
      <x:c r="P93" t="str">
        <x:v>MD-I4 Incendiary Mines</x:v>
      </x:c>
      <x:c r="Q93" t="str">
        <x:v>中文Wiki用名</x:v>
      </x:c>
      <x:c r="R93" s="65" t="str">
        <x:v>—</x:v>
      </x:c>
      <x:c r="S93" s="65" t="str">
        <x:v>—</x:v>
      </x:c>
      <x:c r="T93" s="65" t="str">
        <x:v>—</x:v>
      </x:c>
      <x:c r="U93" s="64" t="str">
        <x:v>部署触发后点燃地面与敌人的燃烧地雷群。 保留自动/有人防御系统与整套装药保障价，后续射击或地雷触发不重复记费。</x:v>
      </x:c>
    </x:row>
    <x:row r="94" ht="72" customHeight="1">
      <x:c r="A94" s="8" t="str">
        <x:v>ST-089</x:v>
      </x:c>
      <x:c r="B94" s="8" t="str">
        <x:v>防御/阵地</x:v>
      </x:c>
      <x:c r="C94" s="8" t="str">
        <x:v>MD-17 反坦克地雷</x:v>
      </x:c>
      <x:c r="D94" s="12" t="n">
        <x:f>'定价参数'!$D$83</x:f>
        <x:v>30000</x:v>
      </x:c>
      <x:c r="E94" s="16" t="n">
        <x:v>1000</x:v>
      </x:c>
      <x:c r="F94" s="11" t="n">
        <x:v>30000</x:v>
      </x:c>
      <x:c r="G94" s="17" t="n">
        <x:f>SUM(D94:F94)</x:f>
        <x:v>61000</x:v>
      </x:c>
      <x:c r="H94" s="51" t="str">
        <x:v>—</x:v>
      </x:c>
      <x:c r="I94" s="48" t="str">
        <x:v>—</x:v>
      </x:c>
      <x:c r="J94" s="51" t="n">
        <x:v>0</x:v>
      </x:c>
      <x:c r="K94" s="52" t="n">
        <x:f>G94</x:f>
        <x:v>61000</x:v>
      </x:c>
      <x:c r="L94" s="8" t="str">
        <x:v>整次包干</x:v>
      </x:c>
      <x:c r="M94" s="8" t="str">
        <x:v>整套设备及标准弹药/能源包；自动射击和地雷爆炸不再计费。</x:v>
      </x:c>
      <x:c r="N94" t="str">
        <x:v>https://helldivers.wiki.gg/wiki/MD-17_Anti-Tank_Mines</x:v>
      </x:c>
      <x:c r="O94" t="str">
        <x:v>Wiki原文核对；MOD标准价，事件检测待实测</x:v>
      </x:c>
      <x:c r="P94" t="str">
        <x:v>MD-17 Anti-Tank Mines</x:v>
      </x:c>
      <x:c r="Q94" t="str">
        <x:v>参考译名</x:v>
      </x:c>
      <x:c r="R94" s="66" t="str">
        <x:v>—</x:v>
      </x:c>
      <x:c r="S94" s="66" t="str">
        <x:v>—</x:v>
      </x:c>
      <x:c r="T94" s="66" t="str">
        <x:v>—</x:v>
      </x:c>
      <x:c r="U94" s="67" t="str">
        <x:v>密度较低但每枚装药更强的反坦克地雷群。 保留自动/有人防御系统与整套装药保障价，后续射击或地雷触发不重复记费。</x:v>
      </x:c>
    </x:row>
    <x:row r="95" ht="72" customHeight="1">
      <x:c r="A95" s="2" t="str">
        <x:v>ST-090</x:v>
      </x:c>
      <x:c r="B95" s="2" t="str">
        <x:v>防御/阵地</x:v>
      </x:c>
      <x:c r="C95" s="2" t="str">
        <x:v>FX-12 防护罩生成中继器</x:v>
      </x:c>
      <x:c r="D95" s="13" t="n">
        <x:f>'定价参数'!$D$83</x:f>
        <x:v>30000</x:v>
      </x:c>
      <x:c r="E95" s="16" t="n">
        <x:v>80000</x:v>
      </x:c>
      <x:c r="F95" s="11" t="n">
        <x:v>3000</x:v>
      </x:c>
      <x:c r="G95" s="18" t="n">
        <x:f>SUM(D95:F95)</x:f>
        <x:v>113000</x:v>
      </x:c>
      <x:c r="H95" s="15" t="str">
        <x:v>—</x:v>
      </x:c>
      <x:c r="I95" s="50" t="str">
        <x:v>—</x:v>
      </x:c>
      <x:c r="J95" s="15" t="n">
        <x:v>0</x:v>
      </x:c>
      <x:c r="K95" s="18" t="n">
        <x:f>G95</x:f>
        <x:v>113000</x:v>
      </x:c>
      <x:c r="L95" s="2" t="str">
        <x:v>整次包干</x:v>
      </x:c>
      <x:c r="M95" s="2" t="str">
        <x:v>整套设备及标准弹药/能源包；自动射击和地雷爆炸不再计费。</x:v>
      </x:c>
      <x:c r="N95" t="str">
        <x:v>https://helldivers.wiki.gg/wiki/FX-12_Shield_Generator_Relay</x:v>
      </x:c>
      <x:c r="O95" t="str">
        <x:v>Wiki原文核对；MOD标准价，事件检测待实测</x:v>
      </x:c>
      <x:c r="P95" t="str">
        <x:v>FX-12 Shield Generator Relay</x:v>
      </x:c>
      <x:c r="Q95" t="str">
        <x:v>参考译名</x:v>
      </x:c>
      <x:c r="R95" s="65" t="str">
        <x:v>—</x:v>
      </x:c>
      <x:c r="S95" s="65" t="str">
        <x:v>—</x:v>
      </x:c>
      <x:c r="T95" s="65" t="str">
        <x:v>—</x:v>
      </x:c>
      <x:c r="U95" s="64" t="str">
        <x:v>生成有时限的固定球形能量护盾。 保留自动/有人防御系统与整套装药保障价，后续射击或地雷触发不重复记费。</x:v>
      </x:c>
    </x:row>
    <x:row r="96" ht="72" customHeight="1">
      <x:c r="A96" s="8" t="str">
        <x:v>ST-091</x:v>
      </x:c>
      <x:c r="B96" s="8" t="str">
        <x:v>防御/阵地</x:v>
      </x:c>
      <x:c r="C96" s="8" t="str">
        <x:v>E/MG-101 重机枪支架</x:v>
      </x:c>
      <x:c r="D96" s="12" t="n">
        <x:f>'定价参数'!$D$83</x:f>
        <x:v>30000</x:v>
      </x:c>
      <x:c r="E96" s="16" t="n">
        <x:v>30000</x:v>
      </x:c>
      <x:c r="F96" s="11" t="n">
        <x:v>6000</x:v>
      </x:c>
      <x:c r="G96" s="17" t="n">
        <x:f>SUM(D96:F96)</x:f>
        <x:v>66000</x:v>
      </x:c>
      <x:c r="H96" s="51" t="str">
        <x:v>—</x:v>
      </x:c>
      <x:c r="I96" s="48" t="str">
        <x:v>—</x:v>
      </x:c>
      <x:c r="J96" s="51" t="n">
        <x:v>0</x:v>
      </x:c>
      <x:c r="K96" s="52" t="n">
        <x:f>G96</x:f>
        <x:v>66000</x:v>
      </x:c>
      <x:c r="L96" s="8" t="str">
        <x:v>整次包干</x:v>
      </x:c>
      <x:c r="M96" s="8" t="str">
        <x:v>整套设备及标准弹药/能源包；自动射击和地雷爆炸不再计费。</x:v>
      </x:c>
      <x:c r="N96" t="str">
        <x:v>https://helldivers.wiki.gg/wiki/E/MG-101_HMG_Emplacement</x:v>
      </x:c>
      <x:c r="O96" t="str">
        <x:v>Wiki原文核对；MOD标准价，事件检测待实测</x:v>
      </x:c>
      <x:c r="P96" t="str">
        <x:v>E/MG-101 HMG Emplacement</x:v>
      </x:c>
      <x:c r="Q96" t="str">
        <x:v>参考译名</x:v>
      </x:c>
      <x:c r="R96" s="66" t="str">
        <x:v>—</x:v>
      </x:c>
      <x:c r="S96" s="66" t="str">
        <x:v>—</x:v>
      </x:c>
      <x:c r="T96" s="66" t="str">
        <x:v>—</x:v>
      </x:c>
      <x:c r="U96" s="67" t="str">
        <x:v>有人操纵的重机枪阵地，转向较慢。 保留自动/有人防御系统与整套装药保障价，后续射击或地雷触发不重复记费。</x:v>
      </x:c>
    </x:row>
    <x:row r="97" ht="72" customHeight="1">
      <x:c r="A97" s="2" t="str">
        <x:v>ST-092</x:v>
      </x:c>
      <x:c r="B97" s="2" t="str">
        <x:v>防御/阵地</x:v>
      </x:c>
      <x:c r="C97" s="2" t="str">
        <x:v>E/GL-21 榴弹兵城垛</x:v>
      </x:c>
      <x:c r="D97" s="13" t="n">
        <x:f>'定价参数'!$D$83</x:f>
        <x:v>30000</x:v>
      </x:c>
      <x:c r="E97" s="16" t="n">
        <x:v>40000</x:v>
      </x:c>
      <x:c r="F97" s="11" t="n">
        <x:v>12000</x:v>
      </x:c>
      <x:c r="G97" s="18" t="n">
        <x:f>SUM(D97:F97)</x:f>
        <x:v>82000</x:v>
      </x:c>
      <x:c r="H97" s="15" t="str">
        <x:v>—</x:v>
      </x:c>
      <x:c r="I97" s="50" t="str">
        <x:v>—</x:v>
      </x:c>
      <x:c r="J97" s="15" t="n">
        <x:v>0</x:v>
      </x:c>
      <x:c r="K97" s="18" t="n">
        <x:f>G97</x:f>
        <x:v>82000</x:v>
      </x:c>
      <x:c r="L97" s="2" t="str">
        <x:v>整次包干</x:v>
      </x:c>
      <x:c r="M97" s="2" t="str">
        <x:v>整套设备及标准弹药/能源包；自动射击和地雷爆炸不再计费。</x:v>
      </x:c>
      <x:c r="N97" t="str">
        <x:v>https://helldivers.wiki.gg/wiki/E/GL-21_Grenadier_Battlement</x:v>
      </x:c>
      <x:c r="O97" t="str">
        <x:v>Wiki原文核对；MOD标准价，事件检测待实测</x:v>
      </x:c>
      <x:c r="P97" t="str">
        <x:v>E/GL-21 Grenadier Battlement</x:v>
      </x:c>
      <x:c r="Q97" t="str">
        <x:v>参考译名</x:v>
      </x:c>
      <x:c r="R97" s="65" t="str">
        <x:v>—</x:v>
      </x:c>
      <x:c r="S97" s="65" t="str">
        <x:v>—</x:v>
      </x:c>
      <x:c r="T97" s="65" t="str">
        <x:v>—</x:v>
      </x:c>
      <x:c r="U97" s="64" t="str">
        <x:v>供多人掩护的防弹掩体与榴弹发射器组合。 保留自动/有人防御系统与整套装药保障价，后续射击或地雷触发不重复记费。</x:v>
      </x:c>
    </x:row>
    <x:row r="98" ht="72" customHeight="1">
      <x:c r="A98" s="8" t="str">
        <x:v>ST-093</x:v>
      </x:c>
      <x:c r="B98" s="8" t="str">
        <x:v>防御/阵地</x:v>
      </x:c>
      <x:c r="C98" s="8" t="str">
        <x:v>MD-8 毒气地雷</x:v>
      </x:c>
      <x:c r="D98" s="12" t="n">
        <x:f>'定价参数'!$D$83</x:f>
        <x:v>30000</x:v>
      </x:c>
      <x:c r="E98" s="16" t="n">
        <x:v>1000</x:v>
      </x:c>
      <x:c r="F98" s="11" t="n">
        <x:v>18000</x:v>
      </x:c>
      <x:c r="G98" s="17" t="n">
        <x:f>SUM(D98:F98)</x:f>
        <x:v>49000</x:v>
      </x:c>
      <x:c r="H98" s="51" t="str">
        <x:v>—</x:v>
      </x:c>
      <x:c r="I98" s="48" t="str">
        <x:v>—</x:v>
      </x:c>
      <x:c r="J98" s="51" t="n">
        <x:v>0</x:v>
      </x:c>
      <x:c r="K98" s="52" t="n">
        <x:f>G98</x:f>
        <x:v>49000</x:v>
      </x:c>
      <x:c r="L98" s="8" t="str">
        <x:v>整次包干</x:v>
      </x:c>
      <x:c r="M98" s="8" t="str">
        <x:v>整套设备及标准弹药/能源包；自动射击和地雷爆炸不再计费。</x:v>
      </x:c>
      <x:c r="N98" t="str">
        <x:v>https://helldivers.wiki.gg/wiki/MD-8_Gas_Mines</x:v>
      </x:c>
      <x:c r="O98" t="str">
        <x:v>Wiki原文核对；MOD标准价，事件检测待实测</x:v>
      </x:c>
      <x:c r="P98" t="str">
        <x:v>MD-8 Gas Mines</x:v>
      </x:c>
      <x:c r="Q98" t="str">
        <x:v>参考译名</x:v>
      </x:c>
      <x:c r="R98" s="66" t="str">
        <x:v>—</x:v>
      </x:c>
      <x:c r="S98" s="66" t="str">
        <x:v>—</x:v>
      </x:c>
      <x:c r="T98" s="66" t="str">
        <x:v>—</x:v>
      </x:c>
      <x:c r="U98" s="67" t="str">
        <x:v>触发后释放致盲及减速气体的地雷群。 保留自动/有人防御系统与整套装药保障价，后续射击或地雷触发不重复记费。</x:v>
      </x:c>
    </x:row>
    <x:row r="99" ht="72" customHeight="1">
      <x:c r="A99" s="2" t="str">
        <x:v>ST-094</x:v>
      </x:c>
      <x:c r="B99" s="2" t="str">
        <x:v>防御/阵地</x:v>
      </x:c>
      <x:c r="C99" s="2" t="str">
        <x:v>E/AT-12 反坦克炮台</x:v>
      </x:c>
      <x:c r="D99" s="13" t="n">
        <x:f>'定价参数'!$D$83</x:f>
        <x:v>30000</x:v>
      </x:c>
      <x:c r="E99" s="16" t="n">
        <x:v>80000</x:v>
      </x:c>
      <x:c r="F99" s="11" t="n">
        <x:v>50000</x:v>
      </x:c>
      <x:c r="G99" s="18" t="n">
        <x:f>SUM(D99:F99)</x:f>
        <x:v>160000</x:v>
      </x:c>
      <x:c r="H99" s="15" t="str">
        <x:v>—</x:v>
      </x:c>
      <x:c r="I99" s="50" t="str">
        <x:v>—</x:v>
      </x:c>
      <x:c r="J99" s="15" t="n">
        <x:v>0</x:v>
      </x:c>
      <x:c r="K99" s="18" t="n">
        <x:f>G99</x:f>
        <x:v>160000</x:v>
      </x:c>
      <x:c r="L99" s="2" t="str">
        <x:v>整次包干</x:v>
      </x:c>
      <x:c r="M99" s="2" t="str">
        <x:v>整套设备及标准弹药/能源包；自动射击和地雷爆炸不再计费。</x:v>
      </x:c>
      <x:c r="N99" t="str">
        <x:v>https://helldivers.wiki.gg/wiki/E/AT-12_Anti-Tank_Emplacement</x:v>
      </x:c>
      <x:c r="O99" t="str">
        <x:v>Wiki原文核对；MOD标准价，事件检测待实测</x:v>
      </x:c>
      <x:c r="P99" t="str">
        <x:v>E/AT-12 Anti-Tank Emplacement</x:v>
      </x:c>
      <x:c r="Q99" t="str">
        <x:v>参考译名</x:v>
      </x:c>
      <x:c r="R99" s="65" t="str">
        <x:v>—</x:v>
      </x:c>
      <x:c r="S99" s="65" t="str">
        <x:v>—</x:v>
      </x:c>
      <x:c r="T99" s="65" t="str">
        <x:v>—</x:v>
      </x:c>
      <x:c r="U99" s="64" t="str">
        <x:v>用于远距离反装甲射击的有人火炮阵地。 保留自动/有人防御系统与整套装药保障价，后续射击或地雷触发不重复记费。</x:v>
      </x:c>
    </x:row>
    <x:row r="100" ht="72" customHeight="1">
      <x:c r="A100" s="8" t="str">
        <x:v>ST-095</x:v>
      </x:c>
      <x:c r="B100" s="8" t="str">
        <x:v>任务支援</x:v>
      </x:c>
      <x:c r="C100" s="8" t="str">
        <x:v>增援投送</x:v>
      </x:c>
      <x:c r="D100" s="12" t="n">
        <x:f>'定价参数'!$D$83</x:f>
        <x:v>30000</x:v>
      </x:c>
      <x:c r="E100" s="16" t="n">
        <x:v>0</x:v>
      </x:c>
      <x:c r="F100" s="11" t="n">
        <x:v>0</x:v>
      </x:c>
      <x:c r="G100" s="17" t="n">
        <x:f>SUM(D100:F100)</x:f>
        <x:v>30000</x:v>
      </x:c>
      <x:c r="H100" s="51" t="str">
        <x:v>—</x:v>
      </x:c>
      <x:c r="I100" s="48" t="str">
        <x:v>—</x:v>
      </x:c>
      <x:c r="J100" s="51" t="n">
        <x:v>0</x:v>
      </x:c>
      <x:c r="K100" s="52" t="n">
        <x:f>G100</x:f>
        <x:v>30000</x:v>
      </x:c>
      <x:c r="L100" s="8" t="str">
        <x:v>每位实际投送潜兵</x:v>
      </x:c>
      <x:c r="M100" s="8" t="str">
        <x:v>按实际人数记投送费；与被救援者有关，不能全部归给扔信标的人。V1不自动归属。</x:v>
      </x:c>
      <x:c r="N100" t="str">
        <x:v>https://helldivers.wiki.gg/wiki/Reinforce</x:v>
      </x:c>
      <x:c r="O100" t="str">
        <x:v>Wiki原文核对；MOD标准价，事件检测待实测</x:v>
      </x:c>
      <x:c r="P100" t="str">
        <x:v>Reinforce · 增援投送</x:v>
      </x:c>
      <x:c r="Q100" t="str">
        <x:v>说明性译名</x:v>
      </x:c>
      <x:c r="R100" s="66" t="str">
        <x:v>—</x:v>
      </x:c>
      <x:c r="S100" s="66" t="str">
        <x:v>—</x:v>
      </x:c>
      <x:c r="T100" s="66" t="str">
        <x:v>—</x:v>
      </x:c>
      <x:c r="U100" s="67" t="str">
        <x:v>通过绝地喷射舱投送实际增援人员；按人数归属。 已核对对应装备构造；本体、投送和弹药按现有口径分项。</x:v>
      </x:c>
    </x:row>
    <x:row r="101" ht="72" customHeight="1">
      <x:c r="A101" s="2" t="str">
        <x:v>ST-096</x:v>
      </x:c>
      <x:c r="B101" s="2" t="str">
        <x:v>任务支援</x:v>
      </x:c>
      <x:c r="C101" s="2" t="str">
        <x:v>求援信标</x:v>
      </x:c>
      <x:c r="D101" s="13" t="n">
        <x:f>'定价参数'!$D$83</x:f>
        <x:v>30000</x:v>
      </x:c>
      <x:c r="E101" s="16" t="n">
        <x:v>500</x:v>
      </x:c>
      <x:c r="F101" s="11" t="n">
        <x:v>0</x:v>
      </x:c>
      <x:c r="G101" s="18" t="n">
        <x:f>SUM(D101:F101)</x:f>
        <x:v>30500</x:v>
      </x:c>
      <x:c r="H101" s="15" t="str">
        <x:v>—</x:v>
      </x:c>
      <x:c r="I101" s="50" t="str">
        <x:v>—</x:v>
      </x:c>
      <x:c r="J101" s="15" t="n">
        <x:v>0</x:v>
      </x:c>
      <x:c r="K101" s="18" t="n">
        <x:f>G101</x:f>
        <x:v>30500</x:v>
      </x:c>
      <x:c r="L101" s="2" t="str">
        <x:v>整次包干</x:v>
      </x:c>
      <x:c r="M101" s="2" t="str">
        <x:v>成功部署一次记一次；求援本身不把后来队友开销计入本人。</x:v>
      </x:c>
      <x:c r="N101" t="str">
        <x:v>https://helldivers.wiki.gg/wiki/SoS_Beacon</x:v>
      </x:c>
      <x:c r="O101" t="str">
        <x:v>Wiki原文核对；MOD标准价，事件检测待实测</x:v>
      </x:c>
      <x:c r="P101" t="str">
        <x:v>SOS Beacon · 求援信标</x:v>
      </x:c>
      <x:c r="Q101" t="str">
        <x:v>说明性译名</x:v>
      </x:c>
      <x:c r="R101" s="65" t="str">
        <x:v>—</x:v>
      </x:c>
      <x:c r="S101" s="65" t="str">
        <x:v>—</x:v>
      </x:c>
      <x:c r="T101" s="65" t="str">
        <x:v>—</x:v>
      </x:c>
      <x:c r="U101" s="64" t="str">
        <x:v>求援信标提高任务在银河战争地图上的优先级。 已核对对应装备构造；本体、投送和弹药按现有口径分项。</x:v>
      </x:c>
    </x:row>
    <x:row r="102" ht="72" customHeight="1">
      <x:c r="A102" s="8" t="str">
        <x:v>ST-097</x:v>
      </x:c>
      <x:c r="B102" s="8" t="str">
        <x:v>任务支援</x:v>
      </x:c>
      <x:c r="C102" s="8" t="str">
        <x:v>地狱火炸弹</x:v>
      </x:c>
      <x:c r="D102" s="12" t="n">
        <x:f>'定价参数'!$D$83</x:f>
        <x:v>30000</x:v>
      </x:c>
      <x:c r="E102" s="16" t="n">
        <x:v>250000</x:v>
      </x:c>
      <x:c r="F102" s="11" t="n">
        <x:v>0</x:v>
      </x:c>
      <x:c r="G102" s="17" t="n">
        <x:f>SUM(D102:F102)</x:f>
        <x:v>280000</x:v>
      </x:c>
      <x:c r="H102" s="51" t="str">
        <x:v>—</x:v>
      </x:c>
      <x:c r="I102" s="48" t="str">
        <x:v>—</x:v>
      </x:c>
      <x:c r="J102" s="51" t="n">
        <x:v>0</x:v>
      </x:c>
      <x:c r="K102" s="52" t="n">
        <x:f>G102</x:f>
        <x:v>280000</x:v>
      </x:c>
      <x:c r="L102" s="8" t="str">
        <x:v>整次包干</x:v>
      </x:c>
      <x:c r="M102" s="8" t="str">
        <x:v>按成功交付装药记费；引爆是该包的使用，不再次收费。</x:v>
      </x:c>
      <x:c r="N102" t="str">
        <x:v>https://helldivers.wiki.gg/wiki/NUX-223_Hellbomb</x:v>
      </x:c>
      <x:c r="O102" t="str">
        <x:v>Wiki原文核对；MOD标准价，事件检测待实测</x:v>
      </x:c>
      <x:c r="P102" t="str">
        <x:v>Hellbomb · 地狱火炸弹</x:v>
      </x:c>
      <x:c r="Q102" t="str">
        <x:v>中文Wiki用名</x:v>
      </x:c>
      <x:c r="R102" s="66" t="str">
        <x:v>—</x:v>
      </x:c>
      <x:c r="S102" s="66" t="str">
        <x:v>—</x:v>
      </x:c>
      <x:c r="T102" s="66" t="str">
        <x:v>—</x:v>
      </x:c>
      <x:c r="U102" s="67" t="str">
        <x:v>任务部署的大型地狱火爆破装置。 已核对对应装备构造；本体、投送和弹药按现有口径分项。</x:v>
      </x:c>
    </x:row>
    <x:row r="103" ht="72" customHeight="1">
      <x:c r="A103" s="2" t="str">
        <x:v>ST-098</x:v>
      </x:c>
      <x:c r="B103" s="2" t="str">
        <x:v>任务支援</x:v>
      </x:c>
      <x:c r="C103" s="2" t="str">
        <x:v>超级地球武装部队炮击 · 高爆/烟幕等</x:v>
      </x:c>
      <x:c r="D103" s="13" t="n">
        <x:f>0</x:f>
        <x:v>0</x:v>
      </x:c>
      <x:c r="E103" s="16" t="n">
        <x:v>0</x:v>
      </x:c>
      <x:c r="F103" s="11" t="n">
        <x:v>3000</x:v>
      </x:c>
      <x:c r="G103" s="18" t="n">
        <x:f>SUM(D103:F103)</x:f>
        <x:v>3000</x:v>
      </x:c>
      <x:c r="H103" s="15" t="str">
        <x:v>—</x:v>
      </x:c>
      <x:c r="I103" s="50" t="str">
        <x:v>—</x:v>
      </x:c>
      <x:c r="J103" s="15" t="n">
        <x:v>0</x:v>
      </x:c>
      <x:c r="K103" s="18" t="n">
        <x:f>G103</x:f>
        <x:v>3000</x:v>
      </x:c>
      <x:c r="L103" s="2" t="str">
        <x:v>每次实际炮击</x:v>
      </x:c>
      <x:c r="M103" s="2" t="str">
        <x:v>固定炮位既有设备不重新采购；按单次弹药及火控包。核弹版本另列。</x:v>
      </x:c>
      <x:c r="N103" t="str">
        <x:v>https://helldivers.wiki.gg/wiki/SEAF_Artillery</x:v>
      </x:c>
      <x:c r="O103" t="str">
        <x:v>Wiki原文核对；MOD标准价，事件检测待实测</x:v>
      </x:c>
      <x:c r="P103" t="str">
        <x:v>SEAF Artillery · 高爆/烟幕等</x:v>
      </x:c>
      <x:c r="Q103" t="str">
        <x:v>说明性译名</x:v>
      </x:c>
      <x:c r="R103" s="65" t="str">
        <x:v>—</x:v>
      </x:c>
      <x:c r="S103" s="65" t="str">
        <x:v>—</x:v>
      </x:c>
      <x:c r="T103" s="65" t="str">
        <x:v>—</x:v>
      </x:c>
      <x:c r="U103" s="64" t="str">
        <x:v>利用任务内既有炮位发射已装入的高爆、燃烧、烟幕或静电场炮弹。 已核对对应装备构造；本体、投送和弹药按现有口径分项。</x:v>
      </x:c>
    </x:row>
    <x:row r="104" ht="72" customHeight="1">
      <x:c r="A104" s="8" t="str">
        <x:v>ST-099</x:v>
      </x:c>
      <x:c r="B104" s="8" t="str">
        <x:v>任务支援</x:v>
      </x:c>
      <x:c r="C104" s="8" t="str">
        <x:v>超级地球武装部队炮击 · 小型核弹</x:v>
      </x:c>
      <x:c r="D104" s="12" t="n">
        <x:f>0</x:f>
        <x:v>0</x:v>
      </x:c>
      <x:c r="E104" s="16" t="n">
        <x:v>0</x:v>
      </x:c>
      <x:c r="F104" s="11" t="n">
        <x:v>250000</x:v>
      </x:c>
      <x:c r="G104" s="17" t="n">
        <x:f>SUM(D104:F104)</x:f>
        <x:v>250000</x:v>
      </x:c>
      <x:c r="H104" s="51" t="str">
        <x:v>—</x:v>
      </x:c>
      <x:c r="I104" s="48" t="str">
        <x:v>—</x:v>
      </x:c>
      <x:c r="J104" s="51" t="n">
        <x:v>0</x:v>
      </x:c>
      <x:c r="K104" s="52" t="n">
        <x:f>G104</x:f>
        <x:v>250000</x:v>
      </x:c>
      <x:c r="L104" s="8" t="str">
        <x:v>每次实际炮击</x:v>
      </x:c>
      <x:c r="M104" s="8" t="str">
        <x:v>任务内固定炮位的小型核装药参考价。</x:v>
      </x:c>
      <x:c r="N104" t="str">
        <x:v>https://helldivers.wiki.gg/wiki/SEAF_Artillery</x:v>
      </x:c>
      <x:c r="O104" t="str">
        <x:v>Wiki原文核对；MOD标准价，事件检测待实测</x:v>
      </x:c>
      <x:c r="P104" t="str">
        <x:v>SEAF Artillery · 小型核弹</x:v>
      </x:c>
      <x:c r="Q104" t="str">
        <x:v>说明性译名</x:v>
      </x:c>
      <x:c r="R104" s="66" t="str">
        <x:v>—</x:v>
      </x:c>
      <x:c r="S104" s="66" t="str">
        <x:v>—</x:v>
      </x:c>
      <x:c r="T104" s="66" t="str">
        <x:v>—</x:v>
      </x:c>
      <x:c r="U104" s="67" t="str">
        <x:v>利用任务内既有炮位发射小型核炮弹。 已核对对应装备构造；本体、投送和弹药按现有口径分项。</x:v>
      </x:c>
    </x:row>
    <x:row r="105" ht="72" customHeight="1">
      <x:c r="A105" s="2" t="str">
        <x:v>ST-100</x:v>
      </x:c>
      <x:c r="B105" s="2" t="str">
        <x:v>飞鹰保障</x:v>
      </x:c>
      <x:c r="C105" s="2" t="str">
        <x:v>飞鹰重新装填</x:v>
      </x:c>
      <x:c r="D105" s="13" t="n">
        <x:f>SUM(R105:T105)</x:f>
        <x:v>30029</x:v>
      </x:c>
      <x:c r="E105" s="16" t="n">
        <x:v>0</x:v>
      </x:c>
      <x:c r="F105" s="11" t="n">
        <x:v>0</x:v>
      </x:c>
      <x:c r="G105" s="18" t="n">
        <x:f>SUM(D105:F105)</x:f>
        <x:v>30029</x:v>
      </x:c>
      <x:c r="H105" s="15" t="n">
        <x:f>G105</x:f>
        <x:v>30029</x:v>
      </x:c>
      <x:c r="I105" s="69"/>
      <x:c r="J105" s="15" t="str">
        <x:f>IF(ISBLANK(I105),"待录入次数",IF(ISNUMBER(I105),IF(OR(I105&lt;0,MOD(I105,1)&lt;&gt;0),"检查次数",ROUND(H105*I105,2)),"检查次数"))</x:f>
        <x:v>待录入次数</x:v>
      </x:c>
      <x:c r="K105" s="18" t="str">
        <x:f>J105</x:f>
        <x:v>待录入次数</x:v>
      </x:c>
      <x:c r="L105" s="2" t="str">
        <x:v>每次实际返舰重装</x:v>
      </x:c>
      <x:c r="M105" s="2" t="str">
        <x:v>一次真实返舰重装含返舰、重装与返回战区；手动和自动重装统一计一次。尚未发生的指令不计费，重复事件不多收。新航弹只是入库；实际攻击时再计弹药，保留未用航弹不报废。重装中断但已有飞行投入按已发起的标准保障架次记一次。</x:v>
      </x:c>
      <x:c r="N105" t="str">
        <x:v>https://helldivers.wiki.gg/wiki/Eagle_Rearm</x:v>
      </x:c>
      <x:c r="O105" t="str">
        <x:v>Wiki原文核对；MOD标准价，事件检测待实测</x:v>
      </x:c>
      <x:c r="P105" t="str">
        <x:v>Eagle Rearm · 飞鹰重新装填</x:v>
      </x:c>
      <x:c r="Q105" t="str">
        <x:v>说明性译名</x:v>
      </x:c>
      <x:c r="R105" s="65" t="n">
        <x:f>'定价参数'!$D$119</x:f>
        <x:v>25000</x:v>
      </x:c>
      <x:c r="S105" s="65" t="n">
        <x:f>ROUND(('定价参数'!$D$121+'定价参数'!$D$123*'定价参数'!$D$122)*'定价参数'!$D$124/3600,2)</x:f>
        <x:v>29</x:v>
      </x:c>
      <x:c r="T105" s="65" t="n">
        <x:f>'定价参数'!$D$120</x:f>
        <x:v>5000</x:v>
      </x:c>
      <x:c r="U105" s="64" t="str">
        <x:v>飞鹰返回超级驱逐舰机库补弹，再返回战区；标准重装时间150秒，模块可缩短。 燃料包、编制、工资及标准保障工时是MOD核算参数，非官方油耗/薪资。燃料与维护各记一次；工资按1名驾驶员加输入地勤人数×标准工时。额外盘旋时长本版未单独检测计费。</x:v>
      </x:c>
    </x:row>
    <x:row r="106" ht="72" customHeight="1">
      <x:c r="A106" s="8" t="str">
        <x:v>ST-101</x:v>
      </x:c>
      <x:c r="B106" s="8" t="str">
        <x:v>共享运输</x:v>
      </x:c>
      <x:c r="C106" s="8" t="str">
        <x:v>撤离请求 / 鹈鹕保障 · 人均</x:v>
      </x:c>
      <x:c r="D106" s="12" t="n">
        <x:f>SUM(R106:T106)</x:f>
        <x:v>85068</x:v>
      </x:c>
      <x:c r="E106" s="16" t="n">
        <x:v>0</x:v>
      </x:c>
      <x:c r="F106" s="11" t="n">
        <x:v>0</x:v>
      </x:c>
      <x:c r="G106" s="17" t="n">
        <x:f>SUM(D106:F106)</x:f>
        <x:v>85068</x:v>
      </x:c>
      <x:c r="H106" s="51" t="n">
        <x:f>G106</x:f>
        <x:v>85068</x:v>
      </x:c>
      <x:c r="I106" s="69" t="str">
        <x:f>IF(ISBLANK('鹈鹕核算'!E5),"",'鹈鹕核算'!E5)</x:f>
      </x:c>
      <x:c r="J106" s="51" t="str">
        <x:f>'鹈鹕核算'!D8</x:f>
        <x:v>待录入次数</x:v>
      </x:c>
      <x:c r="K106" s="52" t="str">
        <x:f>'鹈鹕核算'!H12</x:f>
        <x:v>待录入/检查输入</x:v>
      </x:c>
      <x:c r="L106" s="8" t="str">
        <x:v>每架实际撤离出航；小队共享</x:v>
      </x:c>
      <x:c r="M106" s="8" t="str">
        <x:v>G/H列为共享往返标准价；J为撤离运输共享总费，K引用“鹈鹕核算”页人均合计（含货运/炮弹及每人每架次基础值）。各输入只在该页填；当前在队人数均分，炮弹不加基础费。同架次改派或盘旋不重复计；已有飞行投入的取消仍记费用。不得把K的人均值再全额复制成共享总费。</x:v>
      </x:c>
      <x:c r="N106" t="str">
        <x:v>https://helldivers.wiki.gg/wiki/Extraction</x:v>
      </x:c>
      <x:c r="O106" t="str">
        <x:v>Wiki原文核对；MOD标准价，事件检测待实测</x:v>
      </x:c>
      <x:c r="P106" t="str">
        <x:v>Extraction · 撤离请求</x:v>
      </x:c>
      <x:c r="Q106" t="str">
        <x:v>说明性译名</x:v>
      </x:c>
      <x:c r="R106" s="66" t="n">
        <x:f>'定价参数'!$D$125</x:f>
        <x:v>75000</x:v>
      </x:c>
      <x:c r="S106" s="66" t="n">
        <x:f>ROUND(('定价参数'!$D$121+'定价参数'!$D$127*'定价参数'!$D$122)*'定价参数'!$D$128/3600,2)</x:f>
        <x:v>68</x:v>
      </x:c>
      <x:c r="T106" s="66" t="n">
        <x:f>'定价参数'!$D$126</x:f>
        <x:v>10000</x:v>
      </x:c>
      <x:c r="U106" s="67" t="str">
        <x:v>鹈鹕从舰船前往撤离点并运回潜兵，任务共享；可以取消、改派或自动紧急撤离。 燃料包、编制、工资及标准保障工时是MOD核算参数，非官方油耗/薪资。燃料与维护各记一次；工资按1名驾驶员加输入地勤人数×标准工时。额外盘旋时长本版未单独检测计费。</x:v>
      </x:c>
    </x:row>
    <x:row r="107" ht="23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</x:row>
  </x:sheetData>
  <x:pageMargins left="0.7" right="0.7" top="0.75" bottom="0.75" header="0.3" footer="0.3"/>
  <x:tableParts count="1">
    <x:tablePart xmlns:r="http://schemas.openxmlformats.org/officeDocument/2006/relationships" r:id="Rd409185656ba49a8"/>
  </x:tableParts>
</x:worksheet>
</file>

<file path=xl/worksheets/sheet4.xml><?xml version="1.0" encoding="utf-8"?>
<x:worksheet xmlns:x="http://schemas.openxmlformats.org/spreadsheetml/2006/main">
  <x:sheetPr>
    <x:tabColor rgb="FFB18943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33" hidden="0" customWidth="1"/>
    <x:col min="3" max="3" width="14" hidden="0" customWidth="1"/>
    <x:col min="4" max="4" width="20" hidden="0" customWidth="1"/>
    <x:col min="5" max="5" width="14" hidden="0" customWidth="1"/>
    <x:col min="6" max="6" width="47" hidden="0" customWidth="1"/>
    <x:col min="7" max="7" width="68" hidden="0" customWidth="1"/>
    <x:col min="8" max="8" width="10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定价参数｜黄色单元格可以调整</x:v>
      </x:c>
      <x:c r="B2" s="2"/>
      <x:c r="C2" s="2"/>
      <x:c r="D2" s="2"/>
      <x:c r="E2" s="2"/>
      <x:c r="F2" s="2"/>
      <x:c r="G2" s="2"/>
      <x:c r="H2" s="2"/>
    </x:row>
    <x:row r="3" ht="23" customHeight="1">
      <x:c r="A3" s="2" t="str">
        <x:v>MC = 军需信用点。普通弹药以1 MC对应1美元预算数量级校准；不换算游戏超级货币或申购点。</x:v>
      </x:c>
      <x:c r="B3" s="2"/>
      <x:c r="C3" s="2"/>
      <x:c r="D3" s="2"/>
      <x:c r="E3" s="2"/>
      <x:c r="F3" s="2"/>
      <x:c r="G3" s="2"/>
      <x:c r="H3" s="2"/>
    </x:row>
    <x:row r="4" ht="23" customHeight="1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7" t="str">
        <x:v>参数键</x:v>
      </x:c>
      <x:c r="B5" s="7" t="str">
        <x:v>成本项目</x:v>
      </x:c>
      <x:c r="C5" s="7" t="str">
        <x:v>计量单位</x:v>
      </x:c>
      <x:c r="D5" s="7" t="str">
        <x:v>标准基价（MC）</x:v>
      </x:c>
      <x:c r="E5" s="7" t="str">
        <x:v>现实锚值</x:v>
      </x:c>
      <x:c r="F5" s="7" t="str">
        <x:v>现实锚点单位/年代</x:v>
      </x:c>
      <x:c r="G5" s="7" t="str">
        <x:v>定价依据</x:v>
      </x:c>
      <x:c r="H5" s="7" t="str">
        <x:v>来源链接</x:v>
      </x:c>
    </x:row>
    <x:row r="6" ht="23" customHeight="1">
      <x:c r="A6" s="8" t="str">
        <x:v>A_RIFLE_L</x:v>
      </x:c>
      <x:c r="B6" s="8" t="str">
        <x:v>轻型步枪标准弹</x:v>
      </x:c>
      <x:c r="C6" s="8" t="str">
        <x:v>MC/发</x:v>
      </x:c>
      <x:c r="D6" s="11" t="n">
        <x:v>0.35</x:v>
      </x:c>
      <x:c r="E6" s="12" t="n">
        <x:v>0.35</x:v>
      </x:c>
      <x:c r="F6" s="8" t="str">
        <x:v>USD/发；FY2026 CTEF 5.56mm Ball</x:v>
      </x:c>
      <x:c r="G6" s="8" t="str">
        <x:v>现实预算比例锚点；类比游戏4.5g弹</x:v>
      </x:c>
      <x:c r="H6" s="8" t="str">
        <x:v>https://comptroller.war.gov/Portals/45/Documents/defbudget/FY2026/FY2026_CTEF_J-Book.pdf#page=12</x:v>
      </x:c>
    </x:row>
    <x:row r="7" ht="23" customHeight="1">
      <x:c r="A7" s="2" t="str">
        <x:v>A_PISTOL_L</x:v>
      </x:c>
      <x:c r="B7" s="2" t="str">
        <x:v>轻型手枪/冲锋枪弹</x:v>
      </x:c>
      <x:c r="C7" s="2" t="str">
        <x:v>MC/发</x:v>
      </x:c>
      <x:c r="D7" s="11" t="n">
        <x:v>0.16</x:v>
      </x:c>
      <x:c r="E7" s="13" t="n">
        <x:v>0.16</x:v>
      </x:c>
      <x:c r="F7" s="2" t="str">
        <x:v>USD/发；FY2026 CTEF 9mm</x:v>
      </x:c>
      <x:c r="G7" s="2" t="str">
        <x:v>现实预算比例锚点；类比游戏7g弹</x:v>
      </x:c>
      <x:c r="H7" s="2" t="str">
        <x:v>https://comptroller.war.gov/Portals/45/Documents/defbudget/FY2026/FY2026_CTEF_J-Book.pdf#page=12</x:v>
      </x:c>
    </x:row>
    <x:row r="8" ht="23" customHeight="1">
      <x:c r="A8" s="8" t="str">
        <x:v>A_RIFLE_M</x:v>
      </x:c>
      <x:c r="B8" s="8" t="str">
        <x:v>中口径步枪/机枪弹</x:v>
      </x:c>
      <x:c r="C8" s="8" t="str">
        <x:v>MC/发</x:v>
      </x:c>
      <x:c r="D8" s="11" t="n">
        <x:v>1.2</x:v>
      </x:c>
      <x:c r="E8" s="12" t="n">
        <x:v>1.2</x:v>
      </x:c>
      <x:c r="F8" s="8" t="str">
        <x:v>USD/发；FY2026 CTEF 7.62mm</x:v>
      </x:c>
      <x:c r="G8" s="8" t="str">
        <x:v>现实预算比例锚点；类比游戏11g弹</x:v>
      </x:c>
      <x:c r="H8" s="8" t="str">
        <x:v>https://comptroller.war.gov/Portals/45/Documents/defbudget/FY2026/FY2026_CTEF_J-Book.pdf#page=12</x:v>
      </x:c>
    </x:row>
    <x:row r="9" ht="23" customHeight="1">
      <x:c r="A9" s="2" t="str">
        <x:v>A_SHOT</x:v>
      </x:c>
      <x:c r="B9" s="2" t="str">
        <x:v>标准霰弹</x:v>
      </x:c>
      <x:c r="C9" s="2" t="str">
        <x:v>MC/壳</x:v>
      </x:c>
      <x:c r="D9" s="11" t="n">
        <x:v>0.52</x:v>
      </x:c>
      <x:c r="E9" s="13" t="n">
        <x:v>0.52</x:v>
      </x:c>
      <x:c r="F9" s="2" t="str">
        <x:v>USD/壳；FY2026 CTEF 12G</x:v>
      </x:c>
      <x:c r="G9" s="2" t="str">
        <x:v>现实预算比例锚点；一壳含全部弹丸</x:v>
      </x:c>
      <x:c r="H9" s="2" t="str">
        <x:v>https://comptroller.war.gov/Portals/45/Documents/defbudget/FY2026/FY2026_CTEF_J-Book.pdf#page=12</x:v>
      </x:c>
    </x:row>
    <x:row r="10" ht="23" customHeight="1">
      <x:c r="A10" s="8" t="str">
        <x:v>A_PISTOL_H</x:v>
      </x:c>
      <x:c r="B10" s="8" t="str">
        <x:v>重型手枪/冲锋枪弹</x:v>
      </x:c>
      <x:c r="C10" s="8" t="str">
        <x:v>MC/发</x:v>
      </x:c>
      <x:c r="D10" s="11" t="n">
        <x:v>0.8</x:v>
      </x:c>
      <x:c r="E10" s="12"/>
      <x:c r="F10" s="8" t="str"/>
      <x:c r="G10" s="8" t="str">
        <x:v>MOD类比定价</x:v>
      </x:c>
      <x:c r="H10" s="8" t="str"/>
    </x:row>
    <x:row r="11" ht="23" customHeight="1">
      <x:c r="A11" s="2" t="str">
        <x:v>A_DMR</x:v>
      </x:c>
      <x:c r="B11" s="2" t="str">
        <x:v>大威力精确步枪弹</x:v>
      </x:c>
      <x:c r="C11" s="2" t="str">
        <x:v>MC/发</x:v>
      </x:c>
      <x:c r="D11" s="11" t="n">
        <x:v>2.5</x:v>
      </x:c>
      <x:c r="E11" s="13"/>
      <x:c r="F11" s="2" t="str"/>
      <x:c r="G11" s="2" t="str">
        <x:v>MOD类比定价</x:v>
      </x:c>
      <x:c r="H11" s="2" t="str"/>
    </x:row>
    <x:row r="12" ht="23" customHeight="1">
      <x:c r="A12" s="8" t="str">
        <x:v>A_AMR</x:v>
      </x:c>
      <x:c r="B12" s="8" t="str">
        <x:v>反器材穿甲弹</x:v>
      </x:c>
      <x:c r="C12" s="8" t="str">
        <x:v>MC/发</x:v>
      </x:c>
      <x:c r="D12" s="11" t="n">
        <x:v>15</x:v>
      </x:c>
      <x:c r="E12" s="12"/>
      <x:c r="F12" s="8" t="str"/>
      <x:c r="G12" s="8" t="str">
        <x:v>MOD类比定价</x:v>
      </x:c>
      <x:c r="H12" s="8" t="str"/>
    </x:row>
    <x:row r="13" ht="23" customHeight="1">
      <x:c r="A13" s="2" t="str">
        <x:v>A_GRENADE</x:v>
      </x:c>
      <x:c r="B13" s="2" t="str">
        <x:v>普通榴弹</x:v>
      </x:c>
      <x:c r="C13" s="2" t="str">
        <x:v>MC/枚</x:v>
      </x:c>
      <x:c r="D13" s="11" t="n">
        <x:v>80</x:v>
      </x:c>
      <x:c r="E13" s="13"/>
      <x:c r="F13" s="2" t="str"/>
      <x:c r="G13" s="2" t="str">
        <x:v>MOD类比定价</x:v>
      </x:c>
      <x:c r="H13" s="2" t="str"/>
    </x:row>
    <x:row r="14" ht="23" customHeight="1">
      <x:c r="A14" s="8" t="str">
        <x:v>A_GRENADE_STUN</x:v>
      </x:c>
      <x:c r="B14" s="8" t="str">
        <x:v>电击榴弹</x:v>
      </x:c>
      <x:c r="C14" s="8" t="str">
        <x:v>MC/枚</x:v>
      </x:c>
      <x:c r="D14" s="11" t="n">
        <x:v>160</x:v>
      </x:c>
      <x:c r="E14" s="12"/>
      <x:c r="F14" s="8" t="str"/>
      <x:c r="G14" s="8" t="str">
        <x:v>MOD类比定价</x:v>
      </x:c>
      <x:c r="H14" s="8" t="str"/>
    </x:row>
    <x:row r="15" ht="23" customHeight="1">
      <x:c r="A15" s="2" t="str">
        <x:v>A_AUTOCANNON</x:v>
      </x:c>
      <x:c r="B15" s="2" t="str">
        <x:v>机炮炮弹</x:v>
      </x:c>
      <x:c r="C15" s="2" t="str">
        <x:v>MC/发</x:v>
      </x:c>
      <x:c r="D15" s="11" t="n">
        <x:v>120</x:v>
      </x:c>
      <x:c r="E15" s="13"/>
      <x:c r="F15" s="2" t="str"/>
      <x:c r="G15" s="2" t="str">
        <x:v>MOD类比定价</x:v>
      </x:c>
      <x:c r="H15" s="2" t="str"/>
    </x:row>
    <x:row r="16" ht="23" customHeight="1">
      <x:c r="A16" s="8" t="str">
        <x:v>A_ROCKET</x:v>
      </x:c>
      <x:c r="B16" s="8" t="str">
        <x:v>无制导反坦克弹</x:v>
      </x:c>
      <x:c r="C16" s="8" t="str">
        <x:v>MC/枚</x:v>
      </x:c>
      <x:c r="D16" s="11" t="n">
        <x:v>3500</x:v>
      </x:c>
      <x:c r="E16" s="12"/>
      <x:c r="F16" s="8" t="str"/>
      <x:c r="G16" s="8" t="str">
        <x:v>MOD类比定价</x:v>
      </x:c>
      <x:c r="H16" s="8" t="str"/>
    </x:row>
    <x:row r="17" ht="23" customHeight="1">
      <x:c r="A17" s="2" t="str">
        <x:v>A_AIRBURST</x:v>
      </x:c>
      <x:c r="B17" s="2" t="str">
        <x:v>空爆集束火箭</x:v>
      </x:c>
      <x:c r="C17" s="2" t="str">
        <x:v>MC/枚</x:v>
      </x:c>
      <x:c r="D17" s="11" t="n">
        <x:v>6500</x:v>
      </x:c>
      <x:c r="E17" s="13"/>
      <x:c r="F17" s="2" t="str"/>
      <x:c r="G17" s="2" t="str">
        <x:v>MOD类比定价</x:v>
      </x:c>
      <x:c r="H17" s="2" t="str"/>
    </x:row>
    <x:row r="18" ht="23" customHeight="1">
      <x:c r="A18" s="8" t="str">
        <x:v>A_GUIDED</x:v>
      </x:c>
      <x:c r="B18" s="8" t="str">
        <x:v>重型制导导弹</x:v>
      </x:c>
      <x:c r="C18" s="8" t="str">
        <x:v>MC/枚</x:v>
      </x:c>
      <x:c r="D18" s="11" t="n">
        <x:v>150000</x:v>
      </x:c>
      <x:c r="E18" s="12"/>
      <x:c r="F18" s="8" t="str"/>
      <x:c r="G18" s="8" t="str">
        <x:v>MOD类比定价</x:v>
      </x:c>
      <x:c r="H18" s="8" t="str"/>
    </x:row>
    <x:row r="19" ht="23" customHeight="1">
      <x:c r="A19" s="2" t="str">
        <x:v>A_GUIDED_S</x:v>
      </x:c>
      <x:c r="B19" s="2" t="str">
        <x:v>小型制导导弹</x:v>
      </x:c>
      <x:c r="C19" s="2" t="str">
        <x:v>MC/枚</x:v>
      </x:c>
      <x:c r="D19" s="11" t="n">
        <x:v>12000</x:v>
      </x:c>
      <x:c r="E19" s="13"/>
      <x:c r="F19" s="2" t="str"/>
      <x:c r="G19" s="2" t="str">
        <x:v>MOD类比定价</x:v>
      </x:c>
      <x:c r="H19" s="2" t="str"/>
    </x:row>
    <x:row r="20" ht="23" customHeight="1">
      <x:c r="A20" s="8" t="str">
        <x:v>A_RAIL</x:v>
      </x:c>
      <x:c r="B20" s="8" t="str">
        <x:v>轨道炮弹（含供能和磨损）</x:v>
      </x:c>
      <x:c r="C20" s="8" t="str">
        <x:v>MC/发</x:v>
      </x:c>
      <x:c r="D20" s="11" t="n">
        <x:v>100</x:v>
      </x:c>
      <x:c r="E20" s="12"/>
      <x:c r="F20" s="8" t="str"/>
      <x:c r="G20" s="8" t="str">
        <x:v>MOD类比定价</x:v>
      </x:c>
      <x:c r="H20" s="8" t="str"/>
    </x:row>
    <x:row r="21" ht="23" customHeight="1">
      <x:c r="A21" s="2" t="str">
        <x:v>A_BOLT</x:v>
      </x:c>
      <x:c r="B21" s="2" t="str">
        <x:v>小型火箭助推爆弹</x:v>
      </x:c>
      <x:c r="C21" s="2" t="str">
        <x:v>MC/发</x:v>
      </x:c>
      <x:c r="D21" s="11" t="n">
        <x:v>12</x:v>
      </x:c>
      <x:c r="E21" s="13"/>
      <x:c r="F21" s="2" t="str"/>
      <x:c r="G21" s="2" t="str">
        <x:v>MOD类比定价</x:v>
      </x:c>
      <x:c r="H21" s="2" t="str"/>
    </x:row>
    <x:row r="22" ht="23" customHeight="1">
      <x:c r="A22" s="8" t="str">
        <x:v>A_XBOW</x:v>
      </x:c>
      <x:c r="B22" s="8" t="str">
        <x:v>爆炸箭/爆炸步枪弹</x:v>
      </x:c>
      <x:c r="C22" s="8" t="str">
        <x:v>MC/发</x:v>
      </x:c>
      <x:c r="D22" s="11" t="n">
        <x:v>30</x:v>
      </x:c>
      <x:c r="E22" s="12"/>
      <x:c r="F22" s="8" t="str"/>
      <x:c r="G22" s="8" t="str">
        <x:v>MOD类比定价</x:v>
      </x:c>
      <x:c r="H22" s="8" t="str"/>
    </x:row>
    <x:row r="23" ht="23" customHeight="1">
      <x:c r="A23" s="2" t="str">
        <x:v>A_PLASMA</x:v>
      </x:c>
      <x:c r="B23" s="2" t="str">
        <x:v>小型等离子弹</x:v>
      </x:c>
      <x:c r="C23" s="2" t="str">
        <x:v>MC/发</x:v>
      </x:c>
      <x:c r="D23" s="11" t="n">
        <x:v>3</x:v>
      </x:c>
      <x:c r="E23" s="13"/>
      <x:c r="F23" s="2" t="str"/>
      <x:c r="G23" s="2" t="str">
        <x:v>MOD类比定价</x:v>
      </x:c>
      <x:c r="H23" s="2" t="str"/>
    </x:row>
    <x:row r="24" ht="23" customHeight="1">
      <x:c r="A24" s="8" t="str">
        <x:v>A_PLASMA_H</x:v>
      </x:c>
      <x:c r="B24" s="8" t="str">
        <x:v>重型等离子弹</x:v>
      </x:c>
      <x:c r="C24" s="8" t="str">
        <x:v>MC/发</x:v>
      </x:c>
      <x:c r="D24" s="11" t="n">
        <x:v>12</x:v>
      </x:c>
      <x:c r="E24" s="12"/>
      <x:c r="F24" s="8" t="str"/>
      <x:c r="G24" s="8" t="str">
        <x:v>MOD类比定价</x:v>
      </x:c>
      <x:c r="H24" s="8" t="str"/>
    </x:row>
    <x:row r="25" ht="23" customHeight="1">
      <x:c r="A25" s="2" t="str">
        <x:v>A_FUEL</x:v>
      </x:c>
      <x:c r="B25" s="2" t="str">
        <x:v>火焰燃料显示单位</x:v>
      </x:c>
      <x:c r="C25" s="2" t="str">
        <x:v>MC/单位</x:v>
      </x:c>
      <x:c r="D25" s="11" t="n">
        <x:v>0.3</x:v>
      </x:c>
      <x:c r="E25" s="13"/>
      <x:c r="F25" s="2" t="str"/>
      <x:c r="G25" s="2" t="str">
        <x:v>MOD类比定价</x:v>
      </x:c>
      <x:c r="H25" s="2" t="str"/>
    </x:row>
    <x:row r="26" ht="23" customHeight="1">
      <x:c r="A26" s="8" t="str">
        <x:v>A_GAS</x:v>
      </x:c>
      <x:c r="B26" s="8" t="str">
        <x:v>化学介质显示单位</x:v>
      </x:c>
      <x:c r="C26" s="8" t="str">
        <x:v>MC/单位</x:v>
      </x:c>
      <x:c r="D26" s="11" t="n">
        <x:v>0.5</x:v>
      </x:c>
      <x:c r="E26" s="12"/>
      <x:c r="F26" s="8" t="str"/>
      <x:c r="G26" s="8" t="str">
        <x:v>MOD类比定价</x:v>
      </x:c>
      <x:c r="H26" s="8" t="str"/>
    </x:row>
    <x:row r="27" ht="23" customHeight="1">
      <x:c r="A27" s="2" t="str">
        <x:v>A_LASER_P</x:v>
      </x:c>
      <x:c r="B27" s="2" t="str">
        <x:v>脉冲激光供能及磨损</x:v>
      </x:c>
      <x:c r="C27" s="2" t="str">
        <x:v>MC/次</x:v>
      </x:c>
      <x:c r="D27" s="11" t="n">
        <x:v>0.01</x:v>
      </x:c>
      <x:c r="E27" s="13"/>
      <x:c r="F27" s="2" t="str"/>
      <x:c r="G27" s="2" t="str">
        <x:v>MOD类比定价</x:v>
      </x:c>
      <x:c r="H27" s="2" t="str"/>
    </x:row>
    <x:row r="28" ht="23" customHeight="1">
      <x:c r="A28" s="8" t="str">
        <x:v>A_LASER_S</x:v>
      </x:c>
      <x:c r="B28" s="8" t="str">
        <x:v>小型连续激光供能及磨损</x:v>
      </x:c>
      <x:c r="C28" s="8" t="str">
        <x:v>MC/秒</x:v>
      </x:c>
      <x:c r="D28" s="11" t="n">
        <x:v>0.05</x:v>
      </x:c>
      <x:c r="E28" s="12"/>
      <x:c r="F28" s="8" t="str"/>
      <x:c r="G28" s="8" t="str">
        <x:v>MOD类比定价</x:v>
      </x:c>
      <x:c r="H28" s="8" t="str"/>
    </x:row>
    <x:row r="29" ht="23" customHeight="1">
      <x:c r="A29" s="2" t="str">
        <x:v>A_LASER_H</x:v>
      </x:c>
      <x:c r="B29" s="2" t="str">
        <x:v>重型连续激光供能及磨损</x:v>
      </x:c>
      <x:c r="C29" s="2" t="str">
        <x:v>MC/秒</x:v>
      </x:c>
      <x:c r="D29" s="11" t="n">
        <x:v>0.2</x:v>
      </x:c>
      <x:c r="E29" s="13"/>
      <x:c r="F29" s="2" t="str"/>
      <x:c r="G29" s="2" t="str">
        <x:v>MOD类比定价</x:v>
      </x:c>
      <x:c r="H29" s="2" t="str"/>
    </x:row>
    <x:row r="30" ht="23" customHeight="1">
      <x:c r="A30" s="8" t="str">
        <x:v>A_ARC</x:v>
      </x:c>
      <x:c r="B30" s="8" t="str">
        <x:v>小型电弧供能及磨损</x:v>
      </x:c>
      <x:c r="C30" s="8" t="str">
        <x:v>MC/次</x:v>
      </x:c>
      <x:c r="D30" s="11" t="n">
        <x:v>0.05</x:v>
      </x:c>
      <x:c r="E30" s="12"/>
      <x:c r="F30" s="8" t="str"/>
      <x:c r="G30" s="8" t="str">
        <x:v>MOD类比定价</x:v>
      </x:c>
      <x:c r="H30" s="8" t="str"/>
    </x:row>
    <x:row r="31" ht="23" customHeight="1">
      <x:c r="A31" s="2" t="str">
        <x:v>A_ARC_H</x:v>
      </x:c>
      <x:c r="B31" s="2" t="str">
        <x:v>重型电弧供能及磨损</x:v>
      </x:c>
      <x:c r="C31" s="2" t="str">
        <x:v>MC/次</x:v>
      </x:c>
      <x:c r="D31" s="11" t="n">
        <x:v>0.2</x:v>
      </x:c>
      <x:c r="E31" s="13"/>
      <x:c r="F31" s="2" t="str"/>
      <x:c r="G31" s="2" t="str">
        <x:v>MOD类比定价</x:v>
      </x:c>
      <x:c r="H31" s="2" t="str"/>
    </x:row>
    <x:row r="32" ht="23" customHeight="1">
      <x:c r="A32" s="8" t="str">
        <x:v>A_QUASAR</x:v>
      </x:c>
      <x:c r="B32" s="8" t="str">
        <x:v>奎萨充能及磨损</x:v>
      </x:c>
      <x:c r="C32" s="8" t="str">
        <x:v>MC/次</x:v>
      </x:c>
      <x:c r="D32" s="11" t="n">
        <x:v>10</x:v>
      </x:c>
      <x:c r="E32" s="12"/>
      <x:c r="F32" s="8" t="str"/>
      <x:c r="G32" s="8" t="str">
        <x:v>MOD类比定价</x:v>
      </x:c>
      <x:c r="H32" s="8" t="str"/>
    </x:row>
    <x:row r="33" ht="23" customHeight="1">
      <x:c r="A33" s="2" t="str">
        <x:v>A_MELTA</x:v>
      </x:c>
      <x:c r="B33" s="2" t="str">
        <x:v>热熔武器单次放射耗材</x:v>
      </x:c>
      <x:c r="C33" s="2" t="str">
        <x:v>MC/次放射</x:v>
      </x:c>
      <x:c r="D33" s="11" t="n">
        <x:v>1200</x:v>
      </x:c>
      <x:c r="E33" s="13"/>
      <x:c r="F33" s="2" t="str"/>
      <x:c r="G33" s="2" t="str">
        <x:v>MOD高能耗材标准；一次放射1200 MC，一匣三次，不把整匣按一发收费。</x:v>
      </x:c>
      <x:c r="H33" s="2" t="str">
        <x:v>https://helldivers.wiki.gg/wiki/40-K_Meltagun</x:v>
      </x:c>
    </x:row>
    <x:row r="34" ht="23" customHeight="1">
      <x:c r="A34" s="8" t="str">
        <x:v>A_STIM</x:v>
      </x:c>
      <x:c r="B34" s="8" t="str">
        <x:v>医疗注射剂</x:v>
      </x:c>
      <x:c r="C34" s="8" t="str">
        <x:v>MC/支</x:v>
      </x:c>
      <x:c r="D34" s="11" t="n">
        <x:v>25</x:v>
      </x:c>
      <x:c r="E34" s="12"/>
      <x:c r="F34" s="8" t="str"/>
      <x:c r="G34" s="8" t="str">
        <x:v>MOD类比定价</x:v>
      </x:c>
      <x:c r="H34" s="8" t="str"/>
    </x:row>
    <x:row r="35" ht="23" customHeight="1">
      <x:c r="A35" s="2" t="str">
        <x:v>A_GAS_DART</x:v>
      </x:c>
      <x:c r="B35" s="2" t="str">
        <x:v>化学针弹</x:v>
      </x:c>
      <x:c r="C35" s="2" t="str">
        <x:v>MC/发</x:v>
      </x:c>
      <x:c r="D35" s="11" t="n">
        <x:v>15</x:v>
      </x:c>
      <x:c r="E35" s="13"/>
      <x:c r="F35" s="2" t="str"/>
      <x:c r="G35" s="2" t="str">
        <x:v>MOD类比定价</x:v>
      </x:c>
      <x:c r="H35" s="2" t="str"/>
    </x:row>
    <x:row r="36" ht="23" customHeight="1">
      <x:c r="A36" s="8" t="str">
        <x:v>A_NUKE</x:v>
      </x:c>
      <x:c r="B36" s="8" t="str">
        <x:v>微型核装药</x:v>
      </x:c>
      <x:c r="C36" s="8" t="str">
        <x:v>MC/枚</x:v>
      </x:c>
      <x:c r="D36" s="11" t="n">
        <x:v>25000</x:v>
      </x:c>
      <x:c r="E36" s="12"/>
      <x:c r="F36" s="8" t="str"/>
      <x:c r="G36" s="8" t="str">
        <x:v>MOD类比定价</x:v>
      </x:c>
      <x:c r="H36" s="8" t="str"/>
    </x:row>
    <x:row r="37" ht="23" customHeight="1">
      <x:c r="A37" s="2" t="str">
        <x:v>A_STRATEGIC</x:v>
      </x:c>
      <x:c r="B37" s="2" t="str">
        <x:v>便携重型导弹</x:v>
      </x:c>
      <x:c r="C37" s="2" t="str">
        <x:v>MC/枚</x:v>
      </x:c>
      <x:c r="D37" s="11" t="n">
        <x:v>250000</x:v>
      </x:c>
      <x:c r="E37" s="13"/>
      <x:c r="F37" s="2" t="str"/>
      <x:c r="G37" s="2" t="str">
        <x:v>MOD类比定价</x:v>
      </x:c>
      <x:c r="H37" s="2" t="str"/>
    </x:row>
    <x:row r="38" ht="23" customHeight="1">
      <x:c r="A38" s="8" t="str">
        <x:v>A_NAPALM_R</x:v>
      </x:c>
      <x:c r="B38" s="8" t="str">
        <x:v>一次性凝固汽油弹</x:v>
      </x:c>
      <x:c r="C38" s="8" t="str">
        <x:v>MC/枚</x:v>
      </x:c>
      <x:c r="D38" s="11" t="n">
        <x:v>4500</x:v>
      </x:c>
      <x:c r="E38" s="12"/>
      <x:c r="F38" s="8" t="str"/>
      <x:c r="G38" s="8" t="str">
        <x:v>MOD类比定价</x:v>
      </x:c>
      <x:c r="H38" s="8" t="str"/>
    </x:row>
    <x:row r="39" ht="23" customHeight="1">
      <x:c r="A39" s="2" t="str">
        <x:v>A_SPEAR</x:v>
      </x:c>
      <x:c r="B39" s="2" t="str">
        <x:v>可消耗矛弹</x:v>
      </x:c>
      <x:c r="C39" s="2" t="str">
        <x:v>MC/支</x:v>
      </x:c>
      <x:c r="D39" s="11" t="n">
        <x:v>20</x:v>
      </x:c>
      <x:c r="E39" s="13"/>
      <x:c r="F39" s="2" t="str"/>
      <x:c r="G39" s="2" t="str">
        <x:v>MOD类比定价</x:v>
      </x:c>
      <x:c r="H39" s="2" t="str"/>
    </x:row>
    <x:row r="40" ht="23" customHeight="1">
      <x:c r="A40" s="8" t="str">
        <x:v>A_C4</x:v>
      </x:c>
      <x:c r="B40" s="8" t="str">
        <x:v>C4装药</x:v>
      </x:c>
      <x:c r="C40" s="8" t="str">
        <x:v>MC/块</x:v>
      </x:c>
      <x:c r="D40" s="11" t="n">
        <x:v>100</x:v>
      </x:c>
      <x:c r="E40" s="12"/>
      <x:c r="F40" s="8" t="str"/>
      <x:c r="G40" s="8" t="str">
        <x:v>MOD类比定价</x:v>
      </x:c>
      <x:c r="H40" s="8" t="str"/>
    </x:row>
    <x:row r="41" ht="23" customHeight="1">
      <x:c r="A41" s="2" t="str">
        <x:v>A_BREACH</x:v>
      </x:c>
      <x:c r="B41" s="2" t="str">
        <x:v>破障爆炸/热剂装药</x:v>
      </x:c>
      <x:c r="C41" s="2" t="str">
        <x:v>MC/枚</x:v>
      </x:c>
      <x:c r="D41" s="11" t="n">
        <x:v>120</x:v>
      </x:c>
      <x:c r="E41" s="13"/>
      <x:c r="F41" s="2" t="str"/>
      <x:c r="G41" s="2" t="str">
        <x:v>MOD类比定价</x:v>
      </x:c>
      <x:c r="H41" s="2" t="str"/>
    </x:row>
    <x:row r="42" ht="23" customHeight="1">
      <x:c r="A42" s="8" t="str">
        <x:v>A_MELEE</x:v>
      </x:c>
      <x:c r="B42" s="8" t="str">
        <x:v>近战工具维护</x:v>
      </x:c>
      <x:c r="C42" s="8" t="str">
        <x:v>MC/动作</x:v>
      </x:c>
      <x:c r="D42" s="11" t="n">
        <x:v>0</x:v>
      </x:c>
      <x:c r="E42" s="12"/>
      <x:c r="F42" s="8" t="str"/>
      <x:c r="G42" s="8" t="str">
        <x:v>已停用：近战只按整件发放计费；挥动、供电、燃料及锤装药不单独计费。</x:v>
      </x:c>
      <x:c r="H42" s="8" t="str"/>
    </x:row>
    <x:row r="43" ht="23" customHeight="1">
      <x:c r="A43" s="2" t="str">
        <x:v>A_KNIFE</x:v>
      </x:c>
      <x:c r="B43" s="2" t="str">
        <x:v>投掷刀耗损标准</x:v>
      </x:c>
      <x:c r="C43" s="2" t="str">
        <x:v>MC/把</x:v>
      </x:c>
      <x:c r="D43" s="11" t="n">
        <x:v>20</x:v>
      </x:c>
      <x:c r="E43" s="13"/>
      <x:c r="F43" s="2" t="str"/>
      <x:c r="G43" s="2" t="str">
        <x:v>MOD类比定价</x:v>
      </x:c>
      <x:c r="H43" s="2" t="str"/>
    </x:row>
    <x:row r="44" ht="23" customHeight="1">
      <x:c r="A44" s="8" t="str">
        <x:v>HEAT_SMALL</x:v>
      </x:c>
      <x:c r="B44" s="8" t="str">
        <x:v>小型散热器更换</x:v>
      </x:c>
      <x:c r="C44" s="8" t="str">
        <x:v>MC/件</x:v>
      </x:c>
      <x:c r="D44" s="11" t="n">
        <x:v>75</x:v>
      </x:c>
      <x:c r="E44" s="12"/>
      <x:c r="F44" s="8" t="str"/>
      <x:c r="G44" s="8" t="str">
        <x:v>MOD类比定价</x:v>
      </x:c>
      <x:c r="H44" s="8" t="str"/>
    </x:row>
    <x:row r="45" ht="23" customHeight="1">
      <x:c r="A45" s="2" t="str">
        <x:v>HEAT_LARGE</x:v>
      </x:c>
      <x:c r="B45" s="2" t="str">
        <x:v>重型散热器更换</x:v>
      </x:c>
      <x:c r="C45" s="2" t="str">
        <x:v>MC/件</x:v>
      </x:c>
      <x:c r="D45" s="11" t="n">
        <x:v>300</x:v>
      </x:c>
      <x:c r="E45" s="13"/>
      <x:c r="F45" s="2" t="str"/>
      <x:c r="G45" s="2" t="str">
        <x:v>MOD类比定价</x:v>
      </x:c>
      <x:c r="H45" s="2" t="str"/>
    </x:row>
    <x:row r="46" ht="23" customHeight="1">
      <x:c r="A46" s="8" t="str">
        <x:v>B_AR</x:v>
      </x:c>
      <x:c r="B46" s="8" t="str">
        <x:v>普通突击步枪</x:v>
      </x:c>
      <x:c r="C46" s="8" t="str">
        <x:v>MC/件</x:v>
      </x:c>
      <x:c r="D46" s="11" t="n">
        <x:v>2000</x:v>
      </x:c>
      <x:c r="E46" s="12"/>
      <x:c r="F46" s="8" t="str"/>
      <x:c r="G46" s="8" t="str">
        <x:v>MOD类比定价</x:v>
      </x:c>
      <x:c r="H46" s="8" t="str"/>
    </x:row>
    <x:row r="47" ht="23" customHeight="1">
      <x:c r="A47" s="2" t="str">
        <x:v>B_DMR</x:v>
      </x:c>
      <x:c r="B47" s="2" t="str">
        <x:v>精确步枪</x:v>
      </x:c>
      <x:c r="C47" s="2" t="str">
        <x:v>MC/件</x:v>
      </x:c>
      <x:c r="D47" s="11" t="n">
        <x:v>3000</x:v>
      </x:c>
      <x:c r="E47" s="13"/>
      <x:c r="F47" s="2" t="str"/>
      <x:c r="G47" s="2" t="str">
        <x:v>MOD类比定价</x:v>
      </x:c>
      <x:c r="H47" s="2" t="str"/>
    </x:row>
    <x:row r="48" ht="23" customHeight="1">
      <x:c r="A48" s="8" t="str">
        <x:v>B_SMG</x:v>
      </x:c>
      <x:c r="B48" s="8" t="str">
        <x:v>冲锋枪</x:v>
      </x:c>
      <x:c r="C48" s="8" t="str">
        <x:v>MC/件</x:v>
      </x:c>
      <x:c r="D48" s="11" t="n">
        <x:v>1800</x:v>
      </x:c>
      <x:c r="E48" s="12"/>
      <x:c r="F48" s="8" t="str"/>
      <x:c r="G48" s="8" t="str">
        <x:v>MOD类比定价</x:v>
      </x:c>
      <x:c r="H48" s="8" t="str"/>
    </x:row>
    <x:row r="49" ht="23" customHeight="1">
      <x:c r="A49" s="2" t="str">
        <x:v>B_SHOT</x:v>
      </x:c>
      <x:c r="B49" s="2" t="str">
        <x:v>霰弹枪</x:v>
      </x:c>
      <x:c r="C49" s="2" t="str">
        <x:v>MC/件</x:v>
      </x:c>
      <x:c r="D49" s="11" t="n">
        <x:v>1400</x:v>
      </x:c>
      <x:c r="E49" s="13"/>
      <x:c r="F49" s="2" t="str"/>
      <x:c r="G49" s="2" t="str">
        <x:v>MOD类比定价</x:v>
      </x:c>
      <x:c r="H49" s="2" t="str"/>
    </x:row>
    <x:row r="50" ht="23" customHeight="1">
      <x:c r="A50" s="8" t="str">
        <x:v>B_PISTOL</x:v>
      </x:c>
      <x:c r="B50" s="8" t="str">
        <x:v>普通手枪</x:v>
      </x:c>
      <x:c r="C50" s="8" t="str">
        <x:v>MC/件</x:v>
      </x:c>
      <x:c r="D50" s="11" t="n">
        <x:v>500</x:v>
      </x:c>
      <x:c r="E50" s="12"/>
      <x:c r="F50" s="8" t="str"/>
      <x:c r="G50" s="8" t="str">
        <x:v>MOD类比定价</x:v>
      </x:c>
      <x:c r="H50" s="8" t="str"/>
    </x:row>
    <x:row r="51" ht="23" customHeight="1">
      <x:c r="A51" s="2" t="str">
        <x:v>B_GL_P</x:v>
      </x:c>
      <x:c r="B51" s="2" t="str">
        <x:v>单兵爆炸弹武器</x:v>
      </x:c>
      <x:c r="C51" s="2" t="str">
        <x:v>MC/件</x:v>
      </x:c>
      <x:c r="D51" s="11" t="n">
        <x:v>3500</x:v>
      </x:c>
      <x:c r="E51" s="13"/>
      <x:c r="F51" s="2" t="str"/>
      <x:c r="G51" s="2" t="str">
        <x:v>MOD类比定价</x:v>
      </x:c>
      <x:c r="H51" s="2" t="str"/>
    </x:row>
    <x:row r="52" ht="23" customHeight="1">
      <x:c r="A52" s="8" t="str">
        <x:v>B_LAS_P</x:v>
      </x:c>
      <x:c r="B52" s="8" t="str">
        <x:v>个人激光武器</x:v>
      </x:c>
      <x:c r="C52" s="8" t="str">
        <x:v>MC/件</x:v>
      </x:c>
      <x:c r="D52" s="11" t="n">
        <x:v>8000</x:v>
      </x:c>
      <x:c r="E52" s="12"/>
      <x:c r="F52" s="8" t="str"/>
      <x:c r="G52" s="8" t="str">
        <x:v>MOD类比定价</x:v>
      </x:c>
      <x:c r="H52" s="8" t="str"/>
    </x:row>
    <x:row r="53" ht="23" customHeight="1">
      <x:c r="A53" s="2" t="str">
        <x:v>B_PLAS_P</x:v>
      </x:c>
      <x:c r="B53" s="2" t="str">
        <x:v>个人等离子武器</x:v>
      </x:c>
      <x:c r="C53" s="2" t="str">
        <x:v>MC/件</x:v>
      </x:c>
      <x:c r="D53" s="11" t="n">
        <x:v>12000</x:v>
      </x:c>
      <x:c r="E53" s="13"/>
      <x:c r="F53" s="2" t="str"/>
      <x:c r="G53" s="2" t="str">
        <x:v>MOD类比定价</x:v>
      </x:c>
      <x:c r="H53" s="2" t="str"/>
    </x:row>
    <x:row r="54" ht="23" customHeight="1">
      <x:c r="A54" s="8" t="str">
        <x:v>B_ARC_P</x:v>
      </x:c>
      <x:c r="B54" s="8" t="str">
        <x:v>个人电弧武器</x:v>
      </x:c>
      <x:c r="C54" s="8" t="str">
        <x:v>MC/件</x:v>
      </x:c>
      <x:c r="D54" s="11" t="n">
        <x:v>10000</x:v>
      </x:c>
      <x:c r="E54" s="12"/>
      <x:c r="F54" s="8" t="str"/>
      <x:c r="G54" s="8" t="str">
        <x:v>MOD类比定价</x:v>
      </x:c>
      <x:c r="H54" s="8" t="str"/>
    </x:row>
    <x:row r="55" ht="23" customHeight="1">
      <x:c r="A55" s="2" t="str">
        <x:v>B_FLAM_P</x:v>
      </x:c>
      <x:c r="B55" s="2" t="str">
        <x:v>个人喷火武器</x:v>
      </x:c>
      <x:c r="C55" s="2" t="str">
        <x:v>MC/件</x:v>
      </x:c>
      <x:c r="D55" s="11" t="n">
        <x:v>1600</x:v>
      </x:c>
      <x:c r="E55" s="13"/>
      <x:c r="F55" s="2" t="str"/>
      <x:c r="G55" s="2" t="str">
        <x:v>MOD类比定价</x:v>
      </x:c>
      <x:c r="H55" s="2" t="str"/>
    </x:row>
    <x:row r="56" ht="23" customHeight="1">
      <x:c r="A56" s="8" t="str">
        <x:v>B_MELEE</x:v>
      </x:c>
      <x:c r="B56" s="8" t="str">
        <x:v>近战工具</x:v>
      </x:c>
      <x:c r="C56" s="8" t="str">
        <x:v>MC/件</x:v>
      </x:c>
      <x:c r="D56" s="11" t="n">
        <x:v>150</x:v>
      </x:c>
      <x:c r="E56" s="12"/>
      <x:c r="F56" s="8" t="str"/>
      <x:c r="G56" s="8" t="str">
        <x:v>MOD类比定价</x:v>
      </x:c>
      <x:c r="H56" s="8" t="str"/>
    </x:row>
    <x:row r="57" ht="23" customHeight="1">
      <x:c r="A57" s="2" t="str">
        <x:v>B_MG</x:v>
      </x:c>
      <x:c r="B57" s="2" t="str">
        <x:v>通用机枪</x:v>
      </x:c>
      <x:c r="C57" s="2" t="str">
        <x:v>MC/件</x:v>
      </x:c>
      <x:c r="D57" s="11" t="n">
        <x:v>12000</x:v>
      </x:c>
      <x:c r="E57" s="13"/>
      <x:c r="F57" s="2" t="str"/>
      <x:c r="G57" s="2" t="str">
        <x:v>MOD类比定价</x:v>
      </x:c>
      <x:c r="H57" s="2" t="str"/>
    </x:row>
    <x:row r="58" ht="23" customHeight="1">
      <x:c r="A58" s="8" t="str">
        <x:v>B_HMG</x:v>
      </x:c>
      <x:c r="B58" s="8" t="str">
        <x:v>重机枪</x:v>
      </x:c>
      <x:c r="C58" s="8" t="str">
        <x:v>MC/件</x:v>
      </x:c>
      <x:c r="D58" s="11" t="n">
        <x:v>20000</x:v>
      </x:c>
      <x:c r="E58" s="12"/>
      <x:c r="F58" s="8" t="str"/>
      <x:c r="G58" s="8" t="str">
        <x:v>MOD类比定价</x:v>
      </x:c>
      <x:c r="H58" s="8" t="str"/>
    </x:row>
    <x:row r="59" ht="23" customHeight="1">
      <x:c r="A59" s="2" t="str">
        <x:v>B_AMR</x:v>
      </x:c>
      <x:c r="B59" s="2" t="str">
        <x:v>反器材步枪</x:v>
      </x:c>
      <x:c r="C59" s="2" t="str">
        <x:v>MC/件</x:v>
      </x:c>
      <x:c r="D59" s="11" t="n">
        <x:v>15000</x:v>
      </x:c>
      <x:c r="E59" s="13"/>
      <x:c r="F59" s="2" t="str"/>
      <x:c r="G59" s="2" t="str">
        <x:v>MOD类比定价</x:v>
      </x:c>
      <x:c r="H59" s="2" t="str"/>
    </x:row>
    <x:row r="60" ht="23" customHeight="1">
      <x:c r="A60" s="8" t="str">
        <x:v>B_RL</x:v>
      </x:c>
      <x:c r="B60" s="8" t="str">
        <x:v>可重复使用反坦克发射器</x:v>
      </x:c>
      <x:c r="C60" s="8" t="str">
        <x:v>MC/件</x:v>
      </x:c>
      <x:c r="D60" s="11" t="n">
        <x:v>25000</x:v>
      </x:c>
      <x:c r="E60" s="12"/>
      <x:c r="F60" s="8" t="str"/>
      <x:c r="G60" s="8" t="str">
        <x:v>MOD类比定价</x:v>
      </x:c>
      <x:c r="H60" s="8" t="str"/>
    </x:row>
    <x:row r="61" ht="23" customHeight="1">
      <x:c r="A61" s="2" t="str">
        <x:v>B_DISP</x:v>
      </x:c>
      <x:c r="B61" s="2" t="str">
        <x:v>一次性发射器空筒</x:v>
      </x:c>
      <x:c r="C61" s="2" t="str">
        <x:v>MC/件</x:v>
      </x:c>
      <x:c r="D61" s="11" t="n">
        <x:v>200</x:v>
      </x:c>
      <x:c r="E61" s="13"/>
      <x:c r="F61" s="2" t="str"/>
      <x:c r="G61" s="2" t="str">
        <x:v>MOD类比定价</x:v>
      </x:c>
      <x:c r="H61" s="2" t="str"/>
    </x:row>
    <x:row r="62" ht="23" customHeight="1">
      <x:c r="A62" s="8" t="str">
        <x:v>B_GUIDED</x:v>
      </x:c>
      <x:c r="B62" s="8" t="str">
        <x:v>重型制导发射器</x:v>
      </x:c>
      <x:c r="C62" s="8" t="str">
        <x:v>MC/件</x:v>
      </x:c>
      <x:c r="D62" s="11" t="n">
        <x:v>50000</x:v>
      </x:c>
      <x:c r="E62" s="12"/>
      <x:c r="F62" s="8" t="str"/>
      <x:c r="G62" s="8" t="str">
        <x:v>MOD类比定价</x:v>
      </x:c>
      <x:c r="H62" s="8" t="str"/>
    </x:row>
    <x:row r="63" ht="23" customHeight="1">
      <x:c r="A63" s="2" t="str">
        <x:v>B_FLAM_S</x:v>
      </x:c>
      <x:c r="B63" s="2" t="str">
        <x:v>重型喷火/化学武器</x:v>
      </x:c>
      <x:c r="C63" s="2" t="str">
        <x:v>MC/件</x:v>
      </x:c>
      <x:c r="D63" s="11" t="n">
        <x:v>5000</x:v>
      </x:c>
      <x:c r="E63" s="13"/>
      <x:c r="F63" s="2" t="str"/>
      <x:c r="G63" s="2" t="str">
        <x:v>MOD类比定价</x:v>
      </x:c>
      <x:c r="H63" s="2" t="str"/>
    </x:row>
    <x:row r="64" ht="23" customHeight="1">
      <x:c r="A64" s="8" t="str">
        <x:v>B_AC</x:v>
      </x:c>
      <x:c r="B64" s="8" t="str">
        <x:v>便携机炮及弹药背包</x:v>
      </x:c>
      <x:c r="C64" s="8" t="str">
        <x:v>MC/件</x:v>
      </x:c>
      <x:c r="D64" s="11" t="n">
        <x:v>30000</x:v>
      </x:c>
      <x:c r="E64" s="12"/>
      <x:c r="F64" s="8" t="str"/>
      <x:c r="G64" s="8" t="str">
        <x:v>MOD类比定价</x:v>
      </x:c>
      <x:c r="H64" s="8" t="str"/>
    </x:row>
    <x:row r="65" ht="23" customHeight="1">
      <x:c r="A65" s="2" t="str">
        <x:v>B_RAIL</x:v>
      </x:c>
      <x:c r="B65" s="2" t="str">
        <x:v>单兵轨道炮</x:v>
      </x:c>
      <x:c r="C65" s="2" t="str">
        <x:v>MC/件</x:v>
      </x:c>
      <x:c r="D65" s="11" t="n">
        <x:v>60000</x:v>
      </x:c>
      <x:c r="E65" s="13"/>
      <x:c r="F65" s="2" t="str"/>
      <x:c r="G65" s="2" t="str">
        <x:v>MOD类比定价</x:v>
      </x:c>
      <x:c r="H65" s="2" t="str"/>
    </x:row>
    <x:row r="66" ht="23" customHeight="1">
      <x:c r="A66" s="8" t="str">
        <x:v>B_GL</x:v>
      </x:c>
      <x:c r="B66" s="8" t="str">
        <x:v>支援榴弹发射器</x:v>
      </x:c>
      <x:c r="C66" s="8" t="str">
        <x:v>MC/件</x:v>
      </x:c>
      <x:c r="D66" s="11" t="n">
        <x:v>12000</x:v>
      </x:c>
      <x:c r="E66" s="12"/>
      <x:c r="F66" s="8" t="str"/>
      <x:c r="G66" s="8" t="str">
        <x:v>MOD类比定价</x:v>
      </x:c>
      <x:c r="H66" s="8" t="str"/>
    </x:row>
    <x:row r="67" ht="23" customHeight="1">
      <x:c r="A67" s="2" t="str">
        <x:v>B_LAS_S</x:v>
      </x:c>
      <x:c r="B67" s="2" t="str">
        <x:v>重型激光武器</x:v>
      </x:c>
      <x:c r="C67" s="2" t="str">
        <x:v>MC/件</x:v>
      </x:c>
      <x:c r="D67" s="11" t="n">
        <x:v>60000</x:v>
      </x:c>
      <x:c r="E67" s="13"/>
      <x:c r="F67" s="2" t="str"/>
      <x:c r="G67" s="2" t="str">
        <x:v>MOD类比定价</x:v>
      </x:c>
      <x:c r="H67" s="2" t="str"/>
    </x:row>
    <x:row r="68" ht="23" customHeight="1">
      <x:c r="A68" s="8" t="str">
        <x:v>B_ARC_S</x:v>
      </x:c>
      <x:c r="B68" s="8" t="str">
        <x:v>重型电弧武器</x:v>
      </x:c>
      <x:c r="C68" s="8" t="str">
        <x:v>MC/件</x:v>
      </x:c>
      <x:c r="D68" s="11" t="n">
        <x:v>30000</x:v>
      </x:c>
      <x:c r="E68" s="12"/>
      <x:c r="F68" s="8" t="str"/>
      <x:c r="G68" s="8" t="str">
        <x:v>MOD类比定价</x:v>
      </x:c>
      <x:c r="H68" s="8" t="str"/>
    </x:row>
    <x:row r="69" ht="23" customHeight="1">
      <x:c r="A69" s="2" t="str">
        <x:v>B_QUASAR</x:v>
      </x:c>
      <x:c r="B69" s="2" t="str">
        <x:v>奎萨武器</x:v>
      </x:c>
      <x:c r="C69" s="2" t="str">
        <x:v>MC/件</x:v>
      </x:c>
      <x:c r="D69" s="11" t="n">
        <x:v>80000</x:v>
      </x:c>
      <x:c r="E69" s="13"/>
      <x:c r="F69" s="2" t="str"/>
      <x:c r="G69" s="2" t="str">
        <x:v>MOD类比定价</x:v>
      </x:c>
      <x:c r="H69" s="2" t="str"/>
    </x:row>
    <x:row r="70" ht="23" customHeight="1">
      <x:c r="A70" s="8" t="str">
        <x:v>B_PLAS_S</x:v>
      </x:c>
      <x:c r="B70" s="8" t="str">
        <x:v>重型等离子武器</x:v>
      </x:c>
      <x:c r="C70" s="8" t="str">
        <x:v>MC/件</x:v>
      </x:c>
      <x:c r="D70" s="11" t="n">
        <x:v>60000</x:v>
      </x:c>
      <x:c r="E70" s="12"/>
      <x:c r="F70" s="8" t="str"/>
      <x:c r="G70" s="8" t="str">
        <x:v>MOD类比定价</x:v>
      </x:c>
      <x:c r="H70" s="8" t="str"/>
    </x:row>
    <x:row r="71" ht="23" customHeight="1">
      <x:c r="A71" s="2" t="str">
        <x:v>B_C4</x:v>
      </x:c>
      <x:c r="B71" s="2" t="str">
        <x:v>装药携行系统</x:v>
      </x:c>
      <x:c r="C71" s="2" t="str">
        <x:v>MC/件</x:v>
      </x:c>
      <x:c r="D71" s="11" t="n">
        <x:v>500</x:v>
      </x:c>
      <x:c r="E71" s="13"/>
      <x:c r="F71" s="2" t="str"/>
      <x:c r="G71" s="2" t="str">
        <x:v>MOD类比定价</x:v>
      </x:c>
      <x:c r="H71" s="2" t="str"/>
    </x:row>
    <x:row r="72" ht="23" customHeight="1">
      <x:c r="A72" s="8" t="str">
        <x:v>B_BP</x:v>
      </x:c>
      <x:c r="B72" s="8" t="str">
        <x:v>普通补给/弹药背包</x:v>
      </x:c>
      <x:c r="C72" s="8" t="str">
        <x:v>MC/件</x:v>
      </x:c>
      <x:c r="D72" s="11" t="n">
        <x:v>500</x:v>
      </x:c>
      <x:c r="E72" s="12"/>
      <x:c r="F72" s="8" t="str"/>
      <x:c r="G72" s="8" t="str">
        <x:v>MOD类比定价</x:v>
      </x:c>
      <x:c r="H72" s="8" t="str"/>
    </x:row>
    <x:row r="73" ht="23" customHeight="1">
      <x:c r="A73" s="2" t="str">
        <x:v>B_JUMP</x:v>
      </x:c>
      <x:c r="B73" s="2" t="str">
        <x:v>动力跳跃背包</x:v>
      </x:c>
      <x:c r="C73" s="2" t="str">
        <x:v>MC/件</x:v>
      </x:c>
      <x:c r="D73" s="11" t="n">
        <x:v>15000</x:v>
      </x:c>
      <x:c r="E73" s="13"/>
      <x:c r="F73" s="2" t="str"/>
      <x:c r="G73" s="2" t="str">
        <x:v>MOD类比定价</x:v>
      </x:c>
      <x:c r="H73" s="2" t="str"/>
    </x:row>
    <x:row r="74" ht="23" customHeight="1">
      <x:c r="A74" s="8" t="str">
        <x:v>B_SHIELD</x:v>
      </x:c>
      <x:c r="B74" s="8" t="str">
        <x:v>实体防弹盾</x:v>
      </x:c>
      <x:c r="C74" s="8" t="str">
        <x:v>MC/件</x:v>
      </x:c>
      <x:c r="D74" s="11" t="n">
        <x:v>2000</x:v>
      </x:c>
      <x:c r="E74" s="12"/>
      <x:c r="F74" s="8" t="str"/>
      <x:c r="G74" s="8" t="str">
        <x:v>MOD类比定价</x:v>
      </x:c>
      <x:c r="H74" s="8" t="str"/>
    </x:row>
    <x:row r="75" ht="23" customHeight="1">
      <x:c r="A75" s="2" t="str">
        <x:v>B_FORCE</x:v>
      </x:c>
      <x:c r="B75" s="2" t="str">
        <x:v>个人能量护盾</x:v>
      </x:c>
      <x:c r="C75" s="2" t="str">
        <x:v>MC/件</x:v>
      </x:c>
      <x:c r="D75" s="11" t="n">
        <x:v>25000</x:v>
      </x:c>
      <x:c r="E75" s="13"/>
      <x:c r="F75" s="2" t="str"/>
      <x:c r="G75" s="2" t="str">
        <x:v>MOD类比定价</x:v>
      </x:c>
      <x:c r="H75" s="2" t="str"/>
    </x:row>
    <x:row r="76" ht="23" customHeight="1">
      <x:c r="A76" s="8" t="str">
        <x:v>B_DOG</x:v>
      </x:c>
      <x:c r="B76" s="8" t="str">
        <x:v>自动无人机</x:v>
      </x:c>
      <x:c r="C76" s="8" t="str">
        <x:v>MC/件</x:v>
      </x:c>
      <x:c r="D76" s="11" t="n">
        <x:v>18000</x:v>
      </x:c>
      <x:c r="E76" s="12"/>
      <x:c r="F76" s="8" t="str"/>
      <x:c r="G76" s="8" t="str">
        <x:v>MOD类比定价</x:v>
      </x:c>
      <x:c r="H76" s="8" t="str"/>
    </x:row>
    <x:row r="77" ht="23" customHeight="1">
      <x:c r="A77" s="2" t="str">
        <x:v>B_WARP</x:v>
      </x:c>
      <x:c r="B77" s="2" t="str">
        <x:v>跃迁背包</x:v>
      </x:c>
      <x:c r="C77" s="2" t="str">
        <x:v>MC/件</x:v>
      </x:c>
      <x:c r="D77" s="11" t="n">
        <x:v>100000</x:v>
      </x:c>
      <x:c r="E77" s="13"/>
      <x:c r="F77" s="2" t="str"/>
      <x:c r="G77" s="2" t="str">
        <x:v>MOD类比定价</x:v>
      </x:c>
      <x:c r="H77" s="2" t="str"/>
    </x:row>
    <x:row r="78" ht="23" customHeight="1">
      <x:c r="A78" s="8" t="str">
        <x:v>B_NUKE</x:v>
      </x:c>
      <x:c r="B78" s="8" t="str">
        <x:v>便携核装药系统</x:v>
      </x:c>
      <x:c r="C78" s="8" t="str">
        <x:v>MC/件</x:v>
      </x:c>
      <x:c r="D78" s="11" t="n">
        <x:v>250000</x:v>
      </x:c>
      <x:c r="E78" s="12"/>
      <x:c r="F78" s="8" t="str"/>
      <x:c r="G78" s="8" t="str">
        <x:v>MOD类比定价</x:v>
      </x:c>
      <x:c r="H78" s="8" t="str"/>
    </x:row>
    <x:row r="79" ht="23" customHeight="1">
      <x:c r="A79" s="2" t="str">
        <x:v>B_FRV</x:v>
      </x:c>
      <x:c r="B79" s="2" t="str">
        <x:v>轻型侦察车辆</x:v>
      </x:c>
      <x:c r="C79" s="2" t="str">
        <x:v>MC/件</x:v>
      </x:c>
      <x:c r="D79" s="11" t="n">
        <x:v>120000</x:v>
      </x:c>
      <x:c r="E79" s="13"/>
      <x:c r="F79" s="2" t="str"/>
      <x:c r="G79" s="2" t="str">
        <x:v>MOD类比定价</x:v>
      </x:c>
      <x:c r="H79" s="2" t="str"/>
    </x:row>
    <x:row r="80" ht="23" customHeight="1">
      <x:c r="A80" s="8" t="str">
        <x:v>B_EXO</x:v>
      </x:c>
      <x:c r="B80" s="8" t="str">
        <x:v>双足机甲</x:v>
      </x:c>
      <x:c r="C80" s="8" t="str">
        <x:v>MC/件</x:v>
      </x:c>
      <x:c r="D80" s="11" t="n">
        <x:v>1500000</x:v>
      </x:c>
      <x:c r="E80" s="12"/>
      <x:c r="F80" s="8" t="str"/>
      <x:c r="G80" s="8" t="str">
        <x:v>MOD类比定价</x:v>
      </x:c>
      <x:c r="H80" s="8" t="str"/>
    </x:row>
    <x:row r="81" ht="23" customHeight="1">
      <x:c r="A81" s="2" t="str">
        <x:v>B_TANK</x:v>
      </x:c>
      <x:c r="B81" s="2" t="str">
        <x:v>重型战斗车辆</x:v>
      </x:c>
      <x:c r="C81" s="2" t="str">
        <x:v>MC/件</x:v>
      </x:c>
      <x:c r="D81" s="11" t="n">
        <x:v>4000000</x:v>
      </x:c>
      <x:c r="E81" s="13"/>
      <x:c r="F81" s="2" t="str"/>
      <x:c r="G81" s="2" t="str">
        <x:v>MOD类比定价</x:v>
      </x:c>
      <x:c r="H81" s="2" t="str"/>
    </x:row>
    <x:row r="82" ht="23" customHeight="1">
      <x:c r="A82" s="8" t="str">
        <x:v>B_BOOST</x:v>
      </x:c>
      <x:c r="B82" s="8" t="str">
        <x:v>任务增强模块</x:v>
      </x:c>
      <x:c r="C82" s="8" t="str">
        <x:v>MC/件</x:v>
      </x:c>
      <x:c r="D82" s="11" t="n">
        <x:v>3000</x:v>
      </x:c>
      <x:c r="E82" s="12"/>
      <x:c r="F82" s="8" t="str"/>
      <x:c r="G82" s="8" t="str">
        <x:v>MOD类比定价</x:v>
      </x:c>
      <x:c r="H82" s="8" t="str"/>
    </x:row>
    <x:row r="83" ht="23" customHeight="1">
      <x:c r="A83" s="2" t="str">
        <x:v>P_POD</x:v>
      </x:c>
      <x:c r="B83" s="2" t="str">
        <x:v>轨道空投标准平台费</x:v>
      </x:c>
      <x:c r="C83" s="2" t="str">
        <x:v>MC/调用</x:v>
      </x:c>
      <x:c r="D83" s="11" t="n">
        <x:v>30000</x:v>
      </x:c>
      <x:c r="E83" s="13"/>
      <x:c r="F83" s="2" t="str"/>
      <x:c r="G83" s="2" t="str">
        <x:v>世界观基准：投送、制动、舱体、调度与平台保障</x:v>
      </x:c>
      <x:c r="H83" s="2" t="str"/>
    </x:row>
    <x:row r="84" ht="23" customHeight="1">
      <x:c r="A84" s="8" t="str">
        <x:v>P_EAGLE</x:v>
      </x:c>
      <x:c r="B84" s="8" t="str">
        <x:v>飞鹰任务标准平台费</x:v>
      </x:c>
      <x:c r="C84" s="8" t="str">
        <x:v>MC/调用</x:v>
      </x:c>
      <x:c r="D84" s="11" t="n">
        <x:v>45000</x:v>
      </x:c>
      <x:c r="E84" s="12"/>
      <x:c r="F84" s="8" t="str"/>
      <x:c r="G84" s="8" t="str">
        <x:v>MOD出击基准；飞行攻击段、航空平台与驾驶保障；原5000 MC重装分摊移出，返舰燃料/地勤另在飞鹰重装行计费。</x:v>
      </x:c>
      <x:c r="H84" s="8" t="str">
        <x:v>https://helldivers.wiki.gg/wiki/Eagle_Rearm</x:v>
      </x:c>
    </x:row>
    <x:row r="85" ht="23" customHeight="1">
      <x:c r="A85" s="2" t="str">
        <x:v>P_ORBITAL</x:v>
      </x:c>
      <x:c r="B85" s="2" t="str">
        <x:v>轨道火力标准平台费</x:v>
      </x:c>
      <x:c r="C85" s="2" t="str">
        <x:v>MC/调用</x:v>
      </x:c>
      <x:c r="D85" s="11" t="n">
        <x:v>45000</x:v>
      </x:c>
      <x:c r="E85" s="13"/>
      <x:c r="F85" s="2" t="str"/>
      <x:c r="G85" s="2" t="str">
        <x:v>世界观基准：目标解算、火控、炮组及舰载平台成本</x:v>
      </x:c>
      <x:c r="H85" s="2" t="str"/>
    </x:row>
    <x:row r="86" ht="23" customHeight="1">
      <x:c r="A86" s="8" t="str">
        <x:v>P_VEHICLE</x:v>
      </x:c>
      <x:c r="B86" s="8" t="str">
        <x:v>重型运输标准平台费</x:v>
      </x:c>
      <x:c r="C86" s="8" t="str">
        <x:v>MC/调用</x:v>
      </x:c>
      <x:c r="D86" s="11" t="n">
        <x:v>50000</x:v>
      </x:c>
      <x:c r="E86" s="12"/>
      <x:c r="F86" s="8" t="str"/>
      <x:c r="G86" s="8" t="str">
        <x:v>世界观基准：运输、吊装及航空平台保障</x:v>
      </x:c>
      <x:c r="H86" s="8" t="str"/>
    </x:row>
    <x:row r="87" ht="23" customHeight="1">
      <x:c r="A87" s="2" t="str">
        <x:v>C_INCOME</x:v>
      </x:c>
      <x:c r="B87" s="2" t="str">
        <x:v>公民典型年收入（用于世界观校准）</x:v>
      </x:c>
      <x:c r="C87" s="2" t="str">
        <x:v>MC/年</x:v>
      </x:c>
      <x:c r="D87" s="11" t="n">
        <x:v>24000</x:v>
      </x:c>
      <x:c r="E87" s="13"/>
      <x:c r="F87" s="2" t="str"/>
      <x:c r="G87" s="2" t="str">
        <x:v>MOD设定；语音只支持相对关系，未给官方年收入</x:v>
      </x:c>
      <x:c r="H87" s="2" t="str">
        <x:v>https://helldivers.wiki.gg/wiki/Ship_Master#Voice_Lines</x:v>
      </x:c>
    </x:row>
    <x:row r="88" ht="23" customHeight="1">
      <x:c r="A88" s="8" t="str">
        <x:v>T_G-12</x:v>
      </x:c>
      <x:c r="B88" s="8" t="str">
        <x:v>G-12 高爆弹</x:v>
      </x:c>
      <x:c r="C88" s="8" t="str">
        <x:v>MC/枚</x:v>
      </x:c>
      <x:c r="D88" s="11" t="n">
        <x:v>45</x:v>
      </x:c>
      <x:c r="E88" s="12"/>
      <x:c r="F88" s="8" t="str"/>
      <x:c r="G88" s="8" t="str">
        <x:v>MOD军需标准；维持普通高爆装药与机械引信标准价。</x:v>
      </x:c>
      <x:c r="H88" s="8" t="str">
        <x:v>https://github.com/SkyeShade/HD2Runtime/tree/96ab2d258d867a5df4f22bb7b3321d84d28de21d</x:v>
      </x:c>
    </x:row>
    <x:row r="89" ht="23" customHeight="1">
      <x:c r="A89" s="2" t="str">
        <x:v>T_G-6</x:v>
      </x:c>
      <x:c r="B89" s="2" t="str">
        <x:v>G-6 破片弹</x:v>
      </x:c>
      <x:c r="C89" s="2" t="str">
        <x:v>MC/枚</x:v>
      </x:c>
      <x:c r="D89" s="11" t="n">
        <x:v>35</x:v>
      </x:c>
      <x:c r="E89" s="13"/>
      <x:c r="F89" s="2" t="str"/>
      <x:c r="G89" s="2" t="str">
        <x:v>MOD军需标准；维持常规破片壳及炸药标准价；破片不单独收费。</x:v>
      </x:c>
      <x:c r="H89" s="2" t="str">
        <x:v>https://github.com/SkyeShade/HD2Runtime/tree/96ab2d258d867a5df4f22bb7b3321d84d28de21d</x:v>
      </x:c>
    </x:row>
    <x:row r="90" ht="23" customHeight="1">
      <x:c r="A90" s="8" t="str">
        <x:v>T_G-10</x:v>
      </x:c>
      <x:c r="B90" s="8" t="str">
        <x:v>G-10 燃烧弹</x:v>
      </x:c>
      <x:c r="C90" s="8" t="str">
        <x:v>MC/枚</x:v>
      </x:c>
      <x:c r="D90" s="11" t="n">
        <x:v>55</x:v>
      </x:c>
      <x:c r="E90" s="12"/>
      <x:c r="F90" s="8" t="str"/>
      <x:c r="G90" s="8" t="str">
        <x:v>MOD军需标准；维持普通燃烧剂装药价格，区别于高能热熔装置。</x:v>
      </x:c>
      <x:c r="H90" s="8" t="str">
        <x:v>https://github.com/SkyeShade/HD2Runtime/tree/96ab2d258d867a5df4f22bb7b3321d84d28de21d</x:v>
      </x:c>
    </x:row>
    <x:row r="91" ht="23" customHeight="1">
      <x:c r="A91" s="2" t="str">
        <x:v>T_TED-63</x:v>
      </x:c>
      <x:c r="B91" s="2" t="str">
        <x:v>TED-63 炸药</x:v>
      </x:c>
      <x:c r="C91" s="2" t="str">
        <x:v>MC/枚</x:v>
      </x:c>
      <x:c r="D91" s="11" t="n">
        <x:v>120</x:v>
      </x:c>
      <x:c r="E91" s="13"/>
      <x:c r="F91" s="2" t="str"/>
      <x:c r="G91" s="2" t="str">
        <x:v>MOD军需标准；加入可编程引信与燃烧载荷成本；未按传统炸药棒处理。</x:v>
      </x:c>
      <x:c r="H91" s="2" t="str">
        <x:v>https://github.com/SkyeShade/HD2Runtime/tree/96ab2d258d867a5df4f22bb7b3321d84d28de21d</x:v>
      </x:c>
    </x:row>
    <x:row r="92" ht="23" customHeight="1">
      <x:c r="A92" s="8" t="str">
        <x:v>T_G-7</x:v>
      </x:c>
      <x:c r="B92" s="8" t="str">
        <x:v>G-7 菠萝</x:v>
      </x:c>
      <x:c r="C92" s="8" t="str">
        <x:v>MC/枚</x:v>
      </x:c>
      <x:c r="D92" s="11" t="n">
        <x:v>800</x:v>
      </x:c>
      <x:c r="E92" s="12"/>
      <x:c r="F92" s="8" t="str"/>
      <x:c r="G92" s="8" t="str">
        <x:v>MOD军需标准；18枚子弹药各含触发和装药，加上母弹撒布机构；800 MC是一整枚母弹价。</x:v>
      </x:c>
      <x:c r="H92" s="8" t="str">
        <x:v>https://github.com/SkyeShade/HD2Runtime/tree/96ab2d258d867a5df4f22bb7b3321d84d28de21d</x:v>
      </x:c>
    </x:row>
    <x:row r="93" ht="23" customHeight="1">
      <x:c r="A93" s="2" t="str">
        <x:v>T_G-16</x:v>
      </x:c>
      <x:c r="B93" s="2" t="str">
        <x:v>G-16 冲击弹</x:v>
      </x:c>
      <x:c r="C93" s="2" t="str">
        <x:v>MC/枚</x:v>
      </x:c>
      <x:c r="D93" s="11" t="n">
        <x:v>60</x:v>
      </x:c>
      <x:c r="E93" s="13"/>
      <x:c r="F93" s="2" t="str"/>
      <x:c r="G93" s="2" t="str">
        <x:v>MOD军需标准；撞击触发机构略高于普通计时高爆手雷。</x:v>
      </x:c>
      <x:c r="H93" s="2" t="str">
        <x:v>https://github.com/SkyeShade/HD2Runtime/tree/96ab2d258d867a5df4f22bb7b3321d84d28de21d</x:v>
      </x:c>
    </x:row>
    <x:row r="94" ht="23" customHeight="1">
      <x:c r="A94" s="8" t="str">
        <x:v>T_G-3</x:v>
      </x:c>
      <x:c r="B94" s="8" t="str">
        <x:v>G-3 烟雾弹</x:v>
      </x:c>
      <x:c r="C94" s="8" t="str">
        <x:v>MC/枚</x:v>
      </x:c>
      <x:c r="D94" s="11" t="n">
        <x:v>40</x:v>
      </x:c>
      <x:c r="E94" s="12"/>
      <x:c r="F94" s="8" t="str"/>
      <x:c r="G94" s="8" t="str">
        <x:v>MOD军需标准；维持烟剂、壳体与引信价格；无复杂主动传感器。</x:v>
      </x:c>
      <x:c r="H94" s="8" t="str">
        <x:v>https://github.com/SkyeShade/HD2Runtime/tree/96ab2d258d867a5df4f22bb7b3321d84d28de21d</x:v>
      </x:c>
    </x:row>
    <x:row r="95" ht="23" customHeight="1">
      <x:c r="A95" s="2" t="str">
        <x:v>T_G-23</x:v>
      </x:c>
      <x:c r="B95" s="2" t="str">
        <x:v>G-23 眩晕弹</x:v>
      </x:c>
      <x:c r="C95" s="2" t="str">
        <x:v>MC/枚</x:v>
      </x:c>
      <x:c r="D95" s="11" t="n">
        <x:v>350</x:v>
      </x:c>
      <x:c r="E95" s="13"/>
      <x:c r="F95" s="2" t="str"/>
      <x:c r="G95" s="2" t="str">
        <x:v>MOD军需标准；眩晕功能载荷提高价格，不仅按外壳和炸药。</x:v>
      </x:c>
      <x:c r="H95" s="2" t="str">
        <x:v>https://github.com/SkyeShade/HD2Runtime/tree/96ab2d258d867a5df4f22bb7b3321d84d28de21d</x:v>
      </x:c>
    </x:row>
    <x:row r="96" ht="23" customHeight="1">
      <x:c r="A96" s="8" t="str">
        <x:v>T_G-123</x:v>
      </x:c>
      <x:c r="B96" s="8" t="str">
        <x:v>G-123 铝热弹</x:v>
      </x:c>
      <x:c r="C96" s="8" t="str">
        <x:v>MC/枚</x:v>
      </x:c>
      <x:c r="D96" s="11" t="n">
        <x:v>450</x:v>
      </x:c>
      <x:c r="E96" s="12"/>
      <x:c r="F96" s="8" t="str"/>
      <x:c r="G96" s="8" t="str">
        <x:v>MOD军需标准；粘附机构和高温铝热战斗部提高价格；化学燃烧不是核爆。</x:v>
      </x:c>
      <x:c r="H96" s="8" t="str">
        <x:v>https://github.com/SkyeShade/HD2Runtime/tree/96ab2d258d867a5df4f22bb7b3321d84d28de21d</x:v>
      </x:c>
    </x:row>
    <x:row r="97" ht="23" customHeight="1">
      <x:c r="A97" s="2" t="str">
        <x:v>T_G-13</x:v>
      </x:c>
      <x:c r="B97" s="2" t="str">
        <x:v>G-13 燃烧冲击弹</x:v>
      </x:c>
      <x:c r="C97" s="2" t="str">
        <x:v>MC/枚</x:v>
      </x:c>
      <x:c r="D97" s="11" t="n">
        <x:v>120</x:v>
      </x:c>
      <x:c r="E97" s="13"/>
      <x:c r="F97" s="2" t="str"/>
      <x:c r="G97" s="2" t="str">
        <x:v>MOD军需标准；撞击引信加自燃白磷载荷，高于普通燃烧手雷。</x:v>
      </x:c>
      <x:c r="H97" s="2" t="str">
        <x:v>https://github.com/SkyeShade/HD2Runtime/tree/96ab2d258d867a5df4f22bb7b3321d84d28de21d</x:v>
      </x:c>
    </x:row>
    <x:row r="98" ht="23" customHeight="1">
      <x:c r="A98" s="8" t="str">
        <x:v>T_K-2</x:v>
      </x:c>
      <x:c r="B98" s="8" t="str">
        <x:v>K-2 飞刀</x:v>
      </x:c>
      <x:c r="C98" s="8" t="str">
        <x:v>MC/枚</x:v>
      </x:c>
      <x:c r="D98" s="11" t="n">
        <x:v>20</x:v>
      </x:c>
      <x:c r="E98" s="12"/>
      <x:c r="F98" s="8" t="str"/>
      <x:c r="G98" s="8" t="str">
        <x:v>MOD军需标准；整把刀具无电子引导，保留20 MC。回收后再投不重复采购，遗失/报废才计一次。</x:v>
      </x:c>
      <x:c r="H98" s="8" t="str">
        <x:v>https://github.com/SkyeShade/HD2Runtime/tree/96ab2d258d867a5df4f22bb7b3321d84d28de21d</x:v>
      </x:c>
    </x:row>
    <x:row r="99" ht="23" customHeight="1">
      <x:c r="A99" s="2" t="str">
        <x:v>T_G-4</x:v>
      </x:c>
      <x:c r="B99" s="2" t="str">
        <x:v>G-4 毒气榴弹</x:v>
      </x:c>
      <x:c r="C99" s="2" t="str">
        <x:v>MC/枚</x:v>
      </x:c>
      <x:c r="D99" s="11" t="n">
        <x:v>180</x:v>
      </x:c>
      <x:c r="E99" s="13"/>
      <x:c r="F99" s="2" t="str"/>
      <x:c r="G99" s="2" t="str">
        <x:v>MOD军需标准；对有机与机械目标均有效的腐蚀药剂及释放容器增加成本。</x:v>
      </x:c>
      <x:c r="H99" s="2" t="str">
        <x:v>https://github.com/SkyeShade/HD2Runtime/tree/96ab2d258d867a5df4f22bb7b3321d84d28de21d</x:v>
      </x:c>
    </x:row>
    <x:row r="100" ht="23" customHeight="1">
      <x:c r="A100" s="8" t="str">
        <x:v>T_G-50</x:v>
      </x:c>
      <x:c r="B100" s="8" t="str">
        <x:v>G-50 寻踪者</x:v>
      </x:c>
      <x:c r="C100" s="8" t="str">
        <x:v>MC/枚</x:v>
      </x:c>
      <x:c r="D100" s="11" t="n">
        <x:v>4000</x:v>
      </x:c>
      <x:c r="E100" s="12"/>
      <x:c r="F100" s="8" t="str"/>
      <x:c r="G100" s="8" t="str">
        <x:v>MOD军需标准；整套自主探测、飞行、电池与爆炸载荷，按一次性无人机处理。</x:v>
      </x:c>
      <x:c r="H100" s="8" t="str">
        <x:v>https://github.com/SkyeShade/HD2Runtime/tree/96ab2d258d867a5df4f22bb7b3321d84d28de21d</x:v>
      </x:c>
    </x:row>
    <x:row r="101" ht="23" customHeight="1">
      <x:c r="A101" s="2" t="str">
        <x:v>T_G-142</x:v>
      </x:c>
      <x:c r="B101" s="2" t="str">
        <x:v>G-142 烟花术</x:v>
      </x:c>
      <x:c r="C101" s="2" t="str">
        <x:v>MC/枚</x:v>
      </x:c>
      <x:c r="D101" s="11" t="n">
        <x:v>60</x:v>
      </x:c>
      <x:c r="E101" s="13"/>
      <x:c r="F101" s="2" t="str"/>
      <x:c r="G101" s="2" t="str">
        <x:v>MOD军需标准；原文为改装烟花，降低不必要的高科技溢价。</x:v>
      </x:c>
      <x:c r="H101" s="2" t="str">
        <x:v>https://github.com/SkyeShade/HD2Runtime/tree/96ab2d258d867a5df4f22bb7b3321d84d28de21d</x:v>
      </x:c>
    </x:row>
    <x:row r="102" ht="23" customHeight="1">
      <x:c r="A102" s="8" t="str">
        <x:v>T_G-109</x:v>
      </x:c>
      <x:c r="B102" s="8" t="str">
        <x:v>G-109 海胆</x:v>
      </x:c>
      <x:c r="C102" s="8" t="str">
        <x:v>MC/枚</x:v>
      </x:c>
      <x:c r="D102" s="11" t="n">
        <x:v>650</x:v>
      </x:c>
      <x:c r="E102" s="12"/>
      <x:c r="F102" s="8" t="str"/>
      <x:c r="G102" s="8" t="str">
        <x:v>MOD军需标准；粘附和重复脉冲供电装置增加电子组件成本。</x:v>
      </x:c>
      <x:c r="H102" s="8" t="str">
        <x:v>https://github.com/SkyeShade/HD2Runtime/tree/96ab2d258d867a5df4f22bb7b3321d84d28de21d</x:v>
      </x:c>
    </x:row>
    <x:row r="103" ht="23" customHeight="1">
      <x:c r="A103" s="2" t="str">
        <x:v>T_G-31</x:v>
      </x:c>
      <x:c r="B103" s="2" t="str">
        <x:v>G-31 电弧</x:v>
      </x:c>
      <x:c r="C103" s="2" t="str">
        <x:v>MC/枚</x:v>
      </x:c>
      <x:c r="D103" s="11" t="n">
        <x:v>1800</x:v>
      </x:c>
      <x:c r="E103" s="13"/>
      <x:c r="F103" s="2" t="str"/>
      <x:c r="G103" s="2" t="str">
        <x:v>MOD军需标准；可重复放电的高压储能与弹跳结构，区别于普通引爆手雷。</x:v>
      </x:c>
      <x:c r="H103" s="2" t="str">
        <x:v>https://github.com/SkyeShade/HD2Runtime/tree/96ab2d258d867a5df4f22bb7b3321d84d28de21d</x:v>
      </x:c>
    </x:row>
    <x:row r="104" ht="23" customHeight="1">
      <x:c r="A104" s="8" t="str">
        <x:v>T_TM-1</x:v>
      </x:c>
      <x:c r="B104" s="8" t="str">
        <x:v>TM-1 诱饵地雷</x:v>
      </x:c>
      <x:c r="C104" s="8" t="str">
        <x:v>MC/枚</x:v>
      </x:c>
      <x:c r="D104" s="11" t="n">
        <x:v>2500</x:v>
      </x:c>
      <x:c r="E104" s="12"/>
      <x:c r="F104" s="8" t="str"/>
      <x:c r="G104" s="8" t="str">
        <x:v>MOD军需标准；粘附壳、灯光声响诱饵、电池、近炸传感和强力装药；2500 MC整枚包干，无未经描述支持的精神控制。</x:v>
      </x:c>
      <x:c r="H104" s="8" t="str">
        <x:v>https://github.com/SkyeShade/HD2Runtime/tree/96ab2d258d867a5df4f22bb7b3321d84d28de21d</x:v>
      </x:c>
    </x:row>
    <x:row r="105" ht="23" customHeight="1">
      <x:c r="A105" s="2" t="str">
        <x:v>T_G-89</x:v>
      </x:c>
      <x:c r="B105" s="2" t="str">
        <x:v>G-89 烟幕</x:v>
      </x:c>
      <x:c r="C105" s="2" t="str">
        <x:v>MC/枚</x:v>
      </x:c>
      <x:c r="D105" s="11" t="n">
        <x:v>60</x:v>
      </x:c>
      <x:c r="E105" s="13"/>
      <x:c r="F105" s="2" t="str"/>
      <x:c r="G105" s="2" t="str">
        <x:v>MOD军需标准；快速烟剂释放及撞击部署，略高于普通烟幕手雷。</x:v>
      </x:c>
      <x:c r="H105" s="2" t="str">
        <x:v>https://github.com/SkyeShade/HD2Runtime/tree/96ab2d258d867a5df4f22bb7b3321d84d28de21d</x:v>
      </x:c>
    </x:row>
    <x:row r="106" ht="23" customHeight="1">
      <x:c r="A106" s="8" t="str">
        <x:v>T_G_SH-39</x:v>
      </x:c>
      <x:c r="B106" s="8" t="str">
        <x:v>G/SH-39 盾雷</x:v>
      </x:c>
      <x:c r="C106" s="8" t="str">
        <x:v>MC/枚</x:v>
      </x:c>
      <x:c r="D106" s="11" t="n">
        <x:v>15000</x:v>
      </x:c>
      <x:c r="E106" s="12"/>
      <x:c r="F106" s="8" t="str"/>
      <x:c r="G106" s="8" t="str">
        <x:v>MOD军需标准；可抛弃的球形力场发生器与能源组件；与可复用护盾背包25千MC保持技术关系。</x:v>
      </x:c>
      <x:c r="H106" s="8" t="str">
        <x:v>https://github.com/SkyeShade/HD2Runtime/tree/96ab2d258d867a5df4f22bb7b3321d84d28de21d</x:v>
      </x:c>
    </x:row>
    <x:row r="107" ht="23" customHeight="1">
      <x:c r="A107" s="2" t="str">
        <x:v>T_G-48</x:v>
      </x:c>
      <x:c r="B107" s="2" t="str">
        <x:v>G-48 千兆级榴弹</x:v>
      </x:c>
      <x:c r="C107" s="2" t="str">
        <x:v>MC/枚</x:v>
      </x:c>
      <x:c r="D107" s="11" t="n">
        <x:v>1500</x:v>
      </x:c>
      <x:c r="E107" s="13"/>
      <x:c r="F107" s="2" t="str"/>
      <x:c r="G107" s="2" t="str">
        <x:v>MOD军需标准；大装药及反坦克战斗部提高成本，仍低于主动制导无人机。</x:v>
      </x:c>
      <x:c r="H107" s="2" t="str">
        <x:v>https://github.com/SkyeShade/HD2Runtime/tree/96ab2d258d867a5df4f22bb7b3321d84d28de21d</x:v>
      </x:c>
    </x:row>
    <x:row r="108" ht="23" customHeight="1">
      <x:c r="A108" s="8" t="str">
        <x:v>T_G_40-K</x:v>
      </x:c>
      <x:c r="B108" s="8" t="str">
        <x:v>G/40-K 热熔地雷</x:v>
      </x:c>
      <x:c r="C108" s="8" t="str">
        <x:v>MC/枚</x:v>
      </x:c>
      <x:c r="D108" s="11" t="n">
        <x:v>30000</x:v>
      </x:c>
      <x:c r="E108" s="12"/>
      <x:c r="F108" s="8" t="str"/>
      <x:c r="G108" s="8" t="str">
        <x:v>MOD军需标准；一次性高温热能发生器及重型反坦克载荷，按高能技术档30000 MC，高于G-60；核装药并非已确认设定。</x:v>
      </x:c>
      <x:c r="H108" s="8" t="str">
        <x:v>https://github.com/SkyeShade/HD2Runtime/tree/96ab2d258d867a5df4f22bb7b3321d84d28de21d</x:v>
      </x:c>
    </x:row>
    <x:row r="109" ht="23" customHeight="1">
      <x:c r="A109" s="2" t="str">
        <x:v>T_G-8</x:v>
      </x:c>
      <x:c r="B109" s="2" t="str">
        <x:v>G-8 焚烧弹</x:v>
      </x:c>
      <x:c r="C109" s="2" t="str">
        <x:v>MC/枚</x:v>
      </x:c>
      <x:c r="D109" s="11" t="n">
        <x:v>150</x:v>
      </x:c>
      <x:c r="E109" s="13"/>
      <x:c r="F109" s="2" t="str"/>
      <x:c r="G109" s="2" t="str">
        <x:v>MOD军需标准；持续燃烧区需要较大专用燃料包，无核或制导成本。</x:v>
      </x:c>
      <x:c r="H109" s="2" t="str">
        <x:v>https://github.com/SkyeShade/HD2Runtime/tree/96ab2d258d867a5df4f22bb7b3321d84d28de21d</x:v>
      </x:c>
    </x:row>
    <x:row r="110" ht="23" customHeight="1">
      <x:c r="A110" s="8" t="str">
        <x:v>T_G-60</x:v>
      </x:c>
      <x:c r="B110" s="8" t="str">
        <x:v>G-60 反坦克寻踪者</x:v>
      </x:c>
      <x:c r="C110" s="8" t="str">
        <x:v>MC/枚</x:v>
      </x:c>
      <x:c r="D110" s="11" t="n">
        <x:v>12000</x:v>
      </x:c>
      <x:c r="E110" s="12"/>
      <x:c r="F110" s="8" t="str"/>
      <x:c r="G110" s="8" t="str">
        <x:v>MOD军需标准；自主寻敌飞行平台加重型反装甲载荷，高于普通寻踪者，低于热熔高能装置。</x:v>
      </x:c>
      <x:c r="H110" s="8" t="str">
        <x:v>https://github.com/SkyeShade/HD2Runtime/tree/96ab2d258d867a5df4f22bb7b3321d84d28de21d</x:v>
      </x:c>
    </x:row>
    <x:row r="111" ht="23" customHeight="1">
      <x:c r="A111" s="2" t="str">
        <x:v>A_ORB_GATLING</x:v>
      </x:c>
      <x:c r="B111" s="2" t="str">
        <x:v>轨道加特林高爆炮弹</x:v>
      </x:c>
      <x:c r="C111" s="2" t="str">
        <x:v>MC/发</x:v>
      </x:c>
      <x:c r="D111" s="28" t="n">
        <x:v>30</x:v>
      </x:c>
      <x:c r="E111" s="13"/>
      <x:c r="F111" s="2" t="str"/>
      <x:c r="G111" s="2" t="str">
        <x:v>MOD军需标准；小口径舰载高射速炮弹军需标准价。</x:v>
      </x:c>
      <x:c r="H111" s="2" t="str"/>
    </x:row>
    <x:row r="112">
      <x:c r="A112" s="33" t="str">
        <x:v>A_ORB_120_HE</x:v>
      </x:c>
      <x:c r="B112" s="33" t="str">
        <x:v>轨道120mm高爆炮弹</x:v>
      </x:c>
      <x:c r="C112" s="33" t="str">
        <x:v>MC/发</x:v>
      </x:c>
      <x:c r="D112" s="31" t="n">
        <x:v>1200</x:v>
      </x:c>
      <x:c r="E112" s="34"/>
      <x:c r="F112" s="33" t="str"/>
      <x:c r="G112" s="33" t="str">
        <x:v>MOD军需标准；120mm高爆炮弹军需标准价。</x:v>
      </x:c>
      <x:c r="H112" s="33" t="str"/>
    </x:row>
    <x:row r="113">
      <x:c r="A113" t="str">
        <x:v>A_ORB_380_HE</x:v>
      </x:c>
      <x:c r="B113" t="str">
        <x:v>轨道380mm高爆炮弹</x:v>
      </x:c>
      <x:c r="C113" t="str">
        <x:v>MC/发</x:v>
      </x:c>
      <x:c r="D113" s="31" t="n">
        <x:v>6000</x:v>
      </x:c>
      <x:c r="E113" s="32"/>
      <x:c r="F113" t="str"/>
      <x:c r="G113" t="str">
        <x:v>MOD军需标准；380mm高爆炮弹军需标准价，游走火力网沿用同一价。</x:v>
      </x:c>
      <x:c r="H113" t="str"/>
    </x:row>
    <x:row r="114">
      <x:c r="A114" s="33" t="str">
        <x:v>A_ORB_NAPALM</x:v>
      </x:c>
      <x:c r="B114" s="33" t="str">
        <x:v>轨道凝固汽油炮弹</x:v>
      </x:c>
      <x:c r="C114" s="33" t="str">
        <x:v>MC/发</x:v>
      </x:c>
      <x:c r="D114" s="31" t="n">
        <x:v>2000</x:v>
      </x:c>
      <x:c r="E114" s="34"/>
      <x:c r="F114" s="33" t="str"/>
      <x:c r="G114" s="33" t="str">
        <x:v>MOD军需标准；燃烧炮弹军需标准价，按每枚母弹发射计费。</x:v>
      </x:c>
      <x:c r="H114" s="33" t="str"/>
    </x:row>
    <x:row r="115">
      <x:c r="A115" t="str">
        <x:v>A_ORB_AIRBURST</x:v>
      </x:c>
      <x:c r="B115" t="str">
        <x:v>轨道空爆炮弹</x:v>
      </x:c>
      <x:c r="C115" t="str">
        <x:v>MC/发</x:v>
      </x:c>
      <x:c r="D115" s="31" t="n">
        <x:v>4000</x:v>
      </x:c>
      <x:c r="E115" s="32"/>
      <x:c r="F115" t="str"/>
      <x:c r="G115" t="str">
        <x:v>MOD军需标准；空爆母弹军需标准价，内部子弹药与后续爆炸不另记。</x:v>
      </x:c>
      <x:c r="H115" t="str"/>
    </x:row>
    <x:row r="116" ht="56" customHeight="1">
      <x:c r="A116" t="str">
        <x:v>A_MICRO_GUIDED</x:v>
      </x:c>
      <x:c r="B116" t="str">
        <x:v>制导推进微型弹</x:v>
      </x:c>
      <x:c r="C116" t="str">
        <x:v>MC/枚</x:v>
      </x:c>
      <x:c r="D116" s="56" t="n">
        <x:v>250</x:v>
      </x:c>
      <x:c r="E116" s="32"/>
      <x:c r="F116" t="str"/>
      <x:c r="G116" t="str">
        <x:v>MOD军需标准；推进、单枚导引及微型化制造；低于反坦克制导导弹。</x:v>
      </x:c>
      <x:c r="H116" t="str">
        <x:v>https://helldivers.wiki.gg/wiki/P-92_Warrant</x:v>
      </x:c>
    </x:row>
    <x:row r="117" ht="56" customHeight="1">
      <x:c r="A117" t="str">
        <x:v>A_JET_SMALL</x:v>
      </x:c>
      <x:c r="B117" t="str">
        <x:v>小型助推式弹药</x:v>
      </x:c>
      <x:c r="C117" t="str">
        <x:v>MC/枚</x:v>
      </x:c>
      <x:c r="D117" s="56" t="n">
        <x:v>8</x:v>
      </x:c>
      <x:c r="E117" s="32"/>
      <x:c r="F117" t="str"/>
      <x:c r="G117" t="str">
        <x:v>MOD军需标准；无制导小型助推弹，高于普通手枪弹，低于制导微弹。</x:v>
      </x:c>
      <x:c r="H117" t="str">
        <x:v>https://helldivers.wiki.gg/wiki/P-69_Veto</x:v>
      </x:c>
    </x:row>
    <x:row r="118" ht="56" customHeight="1">
      <x:c r="A118" t="str">
        <x:v>A_HOTSHOT</x:v>
      </x:c>
      <x:c r="B118" t="str">
        <x:v>热射武器单次能源匣份额</x:v>
      </x:c>
      <x:c r="C118" t="str">
        <x:v>MC/次</x:v>
      </x:c>
      <x:c r="D118" s="56" t="n">
        <x:v>5</x:v>
      </x:c>
      <x:c r="E118" s="32"/>
      <x:c r="F118" t="str"/>
      <x:c r="G118" t="str">
        <x:v>MOD军需标准；有限能源匣不可自行回充；每次放射分摊耗材。</x:v>
      </x:c>
      <x:c r="H118" t="str">
        <x:v>https://helldivers.wiki.gg/wiki/R/40-K_Hot-Shot_Marksman_Rifle</x:v>
      </x:c>
    </x:row>
    <x:row r="119" ht="56" customHeight="1">
      <x:c r="A119" t="str">
        <x:v>E_REARM_FUEL</x:v>
      </x:c>
      <x:c r="B119" t="str">
        <x:v>飞鹰返舰及返回战区燃料</x:v>
      </x:c>
      <x:c r="C119" t="str">
        <x:v>MC/标准往返</x:v>
      </x:c>
      <x:c r="D119" s="56" t="n">
        <x:v>25000</x:v>
      </x:c>
      <x:c r="E119" s="32"/>
      <x:c r="F119" t="str"/>
      <x:c r="G119" t="str">
        <x:v>MOD军需标准；MOD定价约定；返舰/再出动燃料与推进剂包，无官方油耗或燃料单价。</x:v>
      </x:c>
      <x:c r="H119" t="str">
        <x:v>https://helldivers.wiki.gg/wiki/Eagle_Rearm</x:v>
      </x:c>
    </x:row>
    <x:row r="120" ht="56" customHeight="1">
      <x:c r="A120" t="str">
        <x:v>E_REARM_WEAR</x:v>
      </x:c>
      <x:c r="B120" t="str">
        <x:v>飞鹰重装维护折耗</x:v>
      </x:c>
      <x:c r="C120" t="str">
        <x:v>MC/标准往返</x:v>
      </x:c>
      <x:c r="D120" s="56" t="n">
        <x:v>5000</x:v>
      </x:c>
      <x:c r="E120" s="32"/>
      <x:c r="F120" t="str"/>
      <x:c r="G120" t="str">
        <x:v>MOD军需标准；MOD保障标准；起降、检查与平台折耗；不包含重新填入的弹药采购费。</x:v>
      </x:c>
      <x:c r="H120" t="str">
        <x:v>https://helldivers.wiki.gg/wiki/Eagle_Rearm</x:v>
      </x:c>
    </x:row>
    <x:row r="121" ht="56" customHeight="1">
      <x:c r="A121" t="str">
        <x:v>W_PILOT</x:v>
      </x:c>
      <x:c r="B121" t="str">
        <x:v>驾驶人员危险任务工资</x:v>
      </x:c>
      <x:c r="C121" t="str">
        <x:v>MC/人时</x:v>
      </x:c>
      <x:c r="D121" s="56" t="n">
        <x:v>120</x:v>
      </x:c>
      <x:c r="E121" s="32"/>
      <x:c r="F121" t="str"/>
      <x:c r="G121" t="str">
        <x:v>MOD军需标准；MOD工资标准；不是游戏公布薪资，计入标准工时。</x:v>
      </x:c>
      <x:c r="H121" t="str">
        <x:v>https://helldivers.wiki.gg/wiki/Eagle_1</x:v>
      </x:c>
    </x:row>
    <x:row r="122" ht="56" customHeight="1">
      <x:c r="A122" t="str">
        <x:v>W_TECH</x:v>
      </x:c>
      <x:c r="B122" t="str">
        <x:v>地勤人员危险任务工资</x:v>
      </x:c>
      <x:c r="C122" t="str">
        <x:v>MC/人时</x:v>
      </x:c>
      <x:c r="D122" s="56" t="n">
        <x:v>72</x:v>
      </x:c>
      <x:c r="E122" s="32"/>
      <x:c r="F122" t="str"/>
      <x:c r="G122" t="str">
        <x:v>MOD军需标准；MOD工资标准；不是游戏公布薪资。</x:v>
      </x:c>
      <x:c r="H122" t="str">
        <x:v>https://helldivers.wiki.gg/wiki/Hangar</x:v>
      </x:c>
    </x:row>
    <x:row r="123" ht="56" customHeight="1">
      <x:c r="A123" t="str">
        <x:v>N_REARM_TECH</x:v>
      </x:c>
      <x:c r="B123" t="str">
        <x:v>飞鹰重装参与地勤人数</x:v>
      </x:c>
      <x:c r="C123" t="str">
        <x:v>人</x:v>
      </x:c>
      <x:c r="D123" s="56" t="n">
        <x:v>8</x:v>
      </x:c>
      <x:c r="E123" s="32"/>
      <x:c r="F123" t="str"/>
      <x:c r="G123" t="str">
        <x:v>MOD军需标准；MOD定价编制；资料没有公布实际地勤人数。</x:v>
      </x:c>
      <x:c r="H123" t="str">
        <x:v>https://helldivers.wiki.gg/wiki/Hangar</x:v>
      </x:c>
    </x:row>
    <x:row r="124" ht="56" customHeight="1">
      <x:c r="A124" t="str">
        <x:v>S_REARM_TIME</x:v>
      </x:c>
      <x:c r="B124" t="str">
        <x:v>飞鹰标准重装工时</x:v>
      </x:c>
      <x:c r="C124" t="str">
        <x:v>秒</x:v>
      </x:c>
      <x:c r="D124" s="56" t="n">
        <x:v>150</x:v>
      </x:c>
      <x:c r="E124" s="32"/>
      <x:c r="F124" t="str"/>
      <x:c r="G124" t="str">
        <x:v>MOD军需标准；Wiki基础重装时间150秒；120/108秒升级可手动改此输入，不据此宣称已测出轨道高度。</x:v>
      </x:c>
      <x:c r="H124" t="str">
        <x:v>https://helldivers.wiki.gg/wiki/Eagle_Rearm</x:v>
      </x:c>
    </x:row>
    <x:row r="125" ht="56" customHeight="1">
      <x:c r="A125" t="str">
        <x:v>E_EVAC_FUEL</x:v>
      </x:c>
      <x:c r="B125" t="str">
        <x:v>鹈鹕撤离标准往返燃料</x:v>
      </x:c>
      <x:c r="C125" t="str">
        <x:v>MC/架次</x:v>
      </x:c>
      <x:c r="D125" s="56" t="n">
        <x:v>75000</x:v>
      </x:c>
      <x:c r="E125" s="32"/>
      <x:c r="F125" t="str"/>
      <x:c r="G125" t="str">
        <x:v>MOD军需标准；MOD运输标准；含从舰船出航及返回燃料，无官方物理油耗数据。</x:v>
      </x:c>
      <x:c r="H125" t="str">
        <x:v>https://helldivers.wiki.gg/wiki/Extraction</x:v>
      </x:c>
    </x:row>
    <x:row r="126" ht="56" customHeight="1">
      <x:c r="A126" t="str">
        <x:v>E_EVAC_WEAR</x:v>
      </x:c>
      <x:c r="B126" t="str">
        <x:v>鹈鹕撤离维护折耗</x:v>
      </x:c>
      <x:c r="C126" t="str">
        <x:v>MC/架次</x:v>
      </x:c>
      <x:c r="D126" s="56" t="n">
        <x:v>10000</x:v>
      </x:c>
      <x:c r="E126" s="32"/>
      <x:c r="F126" t="str"/>
      <x:c r="G126" t="str">
        <x:v>MOD军需标准；MOD保障标准；着陆、接驳、返舰和机体折耗，不重新采购整架飞机。</x:v>
      </x:c>
      <x:c r="H126" t="str">
        <x:v>https://helldivers.wiki.gg/wiki/Extraction</x:v>
      </x:c>
    </x:row>
    <x:row r="127" ht="56" customHeight="1">
      <x:c r="A127" t="str">
        <x:v>N_EVAC_TECH</x:v>
      </x:c>
      <x:c r="B127" t="str">
        <x:v>撤离保障地勤人数</x:v>
      </x:c>
      <x:c r="C127" t="str">
        <x:v>人</x:v>
      </x:c>
      <x:c r="D127" s="56" t="n">
        <x:v>4</x:v>
      </x:c>
      <x:c r="E127" s="32"/>
      <x:c r="F127" t="str"/>
      <x:c r="G127" t="str">
        <x:v>MOD军需标准；MOD定价编制；鹈鹕驾驶员按1人，地勤人数不是官方设定。</x:v>
      </x:c>
      <x:c r="H127" t="str">
        <x:v>https://helldivers.wiki.gg/wiki/Extraction</x:v>
      </x:c>
    </x:row>
    <x:row r="128" ht="56" customHeight="1">
      <x:c r="A128" t="str">
        <x:v>S_EVAC_TIME</x:v>
      </x:c>
      <x:c r="B128" t="str">
        <x:v>标准撤离保障工时</x:v>
      </x:c>
      <x:c r="C128" t="str">
        <x:v>秒</x:v>
      </x:c>
      <x:c r="D128" s="56" t="n">
        <x:v>600</x:v>
      </x:c>
      <x:c r="E128" s="32"/>
      <x:c r="F128" t="str"/>
      <x:c r="G128" t="str">
        <x:v>MOD军需标准；MOD每架次10分钟标准保障工时；不是游戏撤离倒计时或已测量往返飞行时间。</x:v>
      </x:c>
      <x:c r="H128" t="str">
        <x:v>https://helldivers.wiki.gg/wiki/Extraction</x:v>
      </x:c>
    </x:row>
    <x:row r="129" ht="56" customHeight="1">
      <x:c r="A129" t="str">
        <x:v>A_PELICAN_SHELL</x:v>
      </x:c>
      <x:c r="B129" t="str">
        <x:v>鹈鹕自动机炮炮弹</x:v>
      </x:c>
      <x:c r="C129" t="str">
        <x:v>MC/发</x:v>
      </x:c>
      <x:c r="D129" s="56" t="n">
        <x:v>150</x:v>
      </x:c>
      <x:c r="E129" s="32"/>
      <x:c r="F129" t="str"/>
      <x:c r="G129" t="str">
        <x:v>MOD军需标准；MOD自动机炮反装甲炮弹档；Wiki确认机炮但未公布口径，不能据此标为确切30mm弹。按母弹实际发射数，三发齐射记3发。</x:v>
      </x:c>
      <x:c r="H129" t="str">
        <x:v>https://helldivers.wiki.gg/wiki/Extraction_Shuttle</x:v>
      </x:c>
    </x:row>
    <x:row r="130" ht="56" customHeight="1">
      <x:c r="A130" t="str">
        <x:v>P_PELICAN_BASE</x:v>
      </x:c>
      <x:c r="B130" t="str">
        <x:v>鹈鹕人均架次基础费</x:v>
      </x:c>
      <x:c r="C130" t="str">
        <x:v>MC/人/架次</x:v>
      </x:c>
      <x:c r="D130" s="56" t="n">
        <x:v>2000</x:v>
      </x:c>
      <x:c r="E130" s="32"/>
      <x:c r="F130" t="str"/>
      <x:c r="G130" t="str">
        <x:v>MOD军需标准；按用户约定：运输费均分后每人每架次加一次基础值；炮弹无基础值。2000为可修改MOD标准。</x:v>
      </x:c>
      <x:c r="H130" t="str">
        <x:v>https://helldivers.wiki.gg/wiki/Pelican_Shuttle</x:v>
      </x:c>
    </x:row>
  </x:sheetData>
  <x:pageMargins left="0.7" right="0.7" top="0.75" bottom="0.75" header="0.3" footer="0.3"/>
  <x:tableParts count="1">
    <x:tablePart xmlns:r="http://schemas.openxmlformats.org/officeDocument/2006/relationships" r:id="Raaa89cc5cab14ed0"/>
  </x:tableParts>
</x:worksheet>
</file>

<file path=xl/worksheets/sheet5.xml><?xml version="1.0" encoding="utf-8"?>
<x:worksheet xmlns:x="http://schemas.openxmlformats.org/spreadsheetml/2006/main">
  <x:sheetPr>
    <x:tabColor rgb="FF135D53"/>
  </x:sheetPr>
  <x:sheetViews>
    <x:sheetView workbookViewId="0">
      <x:pane ySplit="7" topLeftCell="A8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22" hidden="0" customWidth="1"/>
    <x:col min="4" max="4" width="24" hidden="0" customWidth="1"/>
    <x:col min="5" max="5" width="14" hidden="0" customWidth="1"/>
    <x:col min="6" max="6" width="24" hidden="0" customWidth="1"/>
    <x:col min="7" max="7" width="24" hidden="0" customWidth="1"/>
    <x:col min="8" max="8" width="26" hidden="0" customWidth="1"/>
  </x:cols>
  <x:sheetData>
    <x:row r="1">
      <x:c r="A1" s="74" t="str">
        <x:v>鹈鹕费用 · 当前人数均分</x:v>
      </x:c>
      <x:c r="B1" s="74"/>
      <x:c r="C1" s="74"/>
      <x:c r="D1" s="74"/>
      <x:c r="E1" s="74"/>
      <x:c r="F1" s="74"/>
      <x:c r="G1" s="74"/>
      <x:c r="H1" s="74"/>
    </x:row>
    <x:row r="2">
      <x:c r="A2" s="74"/>
      <x:c r="B2" s="74"/>
      <x:c r="C2" s="74"/>
      <x:c r="D2" s="74"/>
      <x:c r="E2" s="74"/>
      <x:c r="F2" s="74"/>
      <x:c r="G2" s="74"/>
      <x:c r="H2" s="74"/>
    </x:row>
    <x:row r="3" ht="42" customHeight="1">
      <x:c r="A3" s="72" t="str">
        <x:v>人均 = 运输保障总费 ÷ 当前人数 + 每人每架次基础费 + 炮弹总费 ÷ 当前人数。炮弹无基础费。</x:v>
      </x:c>
      <x:c r="B3" s="72"/>
      <x:c r="C3" s="72"/>
      <x:c r="D3" s="72"/>
      <x:c r="E3" s="72"/>
      <x:c r="F3" s="72"/>
      <x:c r="G3" s="72"/>
      <x:c r="H3" s="72"/>
    </x:row>
    <x:row r="4">
      <x:c r="A4" s="72"/>
      <x:c r="B4" s="72"/>
      <x:c r="C4" s="72"/>
      <x:c r="D4" s="72"/>
      <x:c r="E4" s="72"/>
      <x:c r="F4" s="72"/>
      <x:c r="G4" s="72"/>
      <x:c r="H4" s="72"/>
    </x:row>
    <x:row r="5">
      <x:c r="A5" s="72" t="str">
        <x:v>当前在队人数</x:v>
      </x:c>
      <x:c r="B5" s="80" t="n">
        <x:v>4</x:v>
      </x:c>
      <x:c r="C5" s="72" t="str">
        <x:v>人</x:v>
      </x:c>
      <x:c r="D5" s="72" t="str">
        <x:v>撤离出航次数</x:v>
      </x:c>
      <x:c r="E5" s="80"/>
      <x:c r="F5" s="72" t="str">
        <x:v>次</x:v>
      </x:c>
      <x:c r="G5" s="72" t="str">
        <x:v>机炮实际发数</x:v>
      </x:c>
      <x:c r="H5" s="80"/>
    </x:row>
    <x:row r="6">
      <x:c r="A6" s="72" t="str">
        <x:v>人数检查</x:v>
      </x:c>
      <x:c r="B6" s="72" t="n">
        <x:f>IF(ISBLANK(B5),"待录入人数",IF(ISNUMBER(B5),IF(OR(B5&lt;1,B5&gt;4,MOD(B5,1)&lt;&gt;0),"检查人数",B5),"检查人数"))</x:f>
        <x:v>4</x:v>
      </x:c>
      <x:c r="C6" s="72"/>
      <x:c r="D6" s="72" t="str">
        <x:v>人数按费用发生时仍在队的成员，包括仍连接的阵亡成员；不是最终登机人数。</x:v>
      </x:c>
      <x:c r="E6" s="72"/>
      <x:c r="F6" s="72"/>
      <x:c r="G6" s="72"/>
      <x:c r="H6" s="72"/>
    </x:row>
    <x:row r="7" ht="42" customHeight="1">
      <x:c r="A7" s="61" t="str">
        <x:v>项目</x:v>
      </x:c>
      <x:c r="B7" s="61" t="str">
        <x:v>次数 / 发数</x:v>
      </x:c>
      <x:c r="C7" s="61" t="str">
        <x:v>单位价格（MC）</x:v>
      </x:c>
      <x:c r="D7" s="61" t="str">
        <x:v>共享总费（MC）</x:v>
      </x:c>
      <x:c r="E7" s="61" t="str">
        <x:v>分摊人数</x:v>
      </x:c>
      <x:c r="F7" s="61" t="str">
        <x:v>人均分摊（MC）</x:v>
      </x:c>
      <x:c r="G7" s="61" t="str">
        <x:v>人均基础费（MC）</x:v>
      </x:c>
      <x:c r="H7" s="61" t="str">
        <x:v>人均合计（MC）</x:v>
      </x:c>
    </x:row>
    <x:row r="8" ht="42" customHeight="1">
      <x:c r="A8" s="72" t="str">
        <x:v>撤离往返</x:v>
      </x:c>
      <x:c r="B8" s="72" t="str">
        <x:f>IF(ISBLANK(E5),"",E5)</x:f>
      </x:c>
      <x:c r="C8" s="81" t="n">
        <x:f>'战备调用'!G106</x:f>
        <x:v>85068</x:v>
      </x:c>
      <x:c r="D8" s="81" t="str">
        <x:f>IF(ISBLANK(E5),"待录入次数",IF(ISNUMBER(E5),IF(OR(E5&lt;0,MOD(E5,1)&lt;&gt;0),"检查次数",ROUND(E5*C8,2)),"检查次数"))</x:f>
        <x:v>待录入次数</x:v>
      </x:c>
      <x:c r="E8" s="72" t="n">
        <x:f>B6</x:f>
        <x:v>4</x:v>
      </x:c>
      <x:c r="F8" s="86" t="str">
        <x:f>IF(ISNUMBER(D8),IF(ISNUMBER(B6),ROUND(D8/B6,2),B6),D8)</x:f>
        <x:v>待录入次数</x:v>
      </x:c>
      <x:c r="G8" s="86" t="str">
        <x:f>IF(ISNUMBER(D8),ROUND(E5*'定价参数'!$D$130,2),D8)</x:f>
        <x:v>待录入次数</x:v>
      </x:c>
      <x:c r="H8" s="86" t="str">
        <x:f>IF(ISNUMBER(F8),SUM(F8,G8),F8)</x:f>
        <x:v>待录入次数</x:v>
      </x:c>
    </x:row>
    <x:row r="9" ht="42" customHeight="1">
      <x:c r="A9" s="83" t="str">
        <x:v>载具货运往返</x:v>
      </x:c>
      <x:c r="B9" s="80" t="n">
        <x:v>0</x:v>
      </x:c>
      <x:c r="C9" s="85" t="n">
        <x:f>'定价参数'!$D$86</x:f>
        <x:v>50000</x:v>
      </x:c>
      <x:c r="D9" s="85" t="n">
        <x:f>IF(ISBLANK(B9),"待录入次数",IF(ISNUMBER(B9),IF(OR(B9&lt;0,MOD(B9,1)&lt;&gt;0),"检查次数",ROUND(B9*C9,2)),"检查次数"))</x:f>
        <x:v>0</x:v>
      </x:c>
      <x:c r="E9" s="83" t="n">
        <x:f>B6</x:f>
        <x:v>4</x:v>
      </x:c>
      <x:c r="F9" s="87" t="n">
        <x:f>IF(ISNUMBER(D9),IF(ISNUMBER(B6),ROUND(D9/B6,2),B6),D9)</x:f>
        <x:v>0</x:v>
      </x:c>
      <x:c r="G9" s="87" t="n">
        <x:f>IF(ISNUMBER(D9),ROUND(B9*'定价参数'!$D$130,2),D9)</x:f>
        <x:v>0</x:v>
      </x:c>
      <x:c r="H9" s="87" t="n">
        <x:f>IF(ISNUMBER(F9),SUM(F9,G9),F9)</x:f>
        <x:v>0</x:v>
      </x:c>
    </x:row>
    <x:row r="10" ht="42" customHeight="1">
      <x:c r="A10" s="72" t="str">
        <x:v>机炮炮弹</x:v>
      </x:c>
      <x:c r="B10" s="72" t="str">
        <x:f>IF(ISBLANK(H5),"",H5)</x:f>
      </x:c>
      <x:c r="C10" s="81" t="n">
        <x:f>'定价参数'!$D$129</x:f>
        <x:v>150</x:v>
      </x:c>
      <x:c r="D10" s="81" t="str">
        <x:f>IF(ISBLANK(H5),"待录入发数",IF(ISNUMBER(H5),IF(OR(H5&lt;0,MOD(H5,1)&lt;&gt;0),"检查发数",ROUND(H5*C10,2)),"检查发数"))</x:f>
        <x:v>待录入发数</x:v>
      </x:c>
      <x:c r="E10" s="72" t="n">
        <x:f>B6</x:f>
        <x:v>4</x:v>
      </x:c>
      <x:c r="F10" s="86" t="str">
        <x:f>IF(ISNUMBER(D10),IF(ISNUMBER(B6),ROUND(D10/B6,2),B6),D10)</x:f>
        <x:v>待录入发数</x:v>
      </x:c>
      <x:c r="G10" s="86" t="n">
        <x:v>0</x:v>
      </x:c>
      <x:c r="H10" s="86" t="str">
        <x:f>IF(ISNUMBER(F10),SUM(F10,G10),F10)</x:f>
        <x:v>待录入发数</x:v>
      </x:c>
    </x:row>
    <x:row r="11">
      <x:c r="A11" s="72"/>
      <x:c r="B11" s="72"/>
      <x:c r="C11" s="72"/>
      <x:c r="D11" s="72"/>
      <x:c r="E11" s="72"/>
      <x:c r="F11" s="72"/>
      <x:c r="G11" s="72"/>
      <x:c r="H11" s="72"/>
    </x:row>
    <x:row r="12">
      <x:c r="A12" s="76" t="str">
        <x:v>本人的鹈鹕费用合计</x:v>
      </x:c>
      <x:c r="B12" s="76"/>
      <x:c r="C12" s="76"/>
      <x:c r="D12" s="76"/>
      <x:c r="E12" s="76"/>
      <x:c r="F12" s="76"/>
      <x:c r="G12" s="76"/>
      <x:c r="H12" s="82" t="str">
        <x:f>IF(AND(ISNUMBER(H8),ISNUMBER(H9),ISNUMBER(H10)),SUM(H8:H10),"待录入/检查输入")</x:f>
        <x:v>待录入/检查输入</x:v>
      </x:c>
    </x:row>
    <x:row r="13">
      <x:c r="A13" s="72"/>
      <x:c r="B13" s="72"/>
      <x:c r="C13" s="72"/>
      <x:c r="D13" s="72"/>
      <x:c r="E13" s="72"/>
      <x:c r="F13" s="72"/>
      <x:c r="G13" s="72"/>
      <x:c r="H13" s="72"/>
    </x:row>
    <x:row r="14">
      <x:c r="A14" s="77" t="str">
        <x:v>费用分项与重复记账边界</x:v>
      </x:c>
      <x:c r="B14" s="77"/>
      <x:c r="C14" s="77"/>
      <x:c r="D14" s="77"/>
      <x:c r="E14" s="77"/>
      <x:c r="F14" s="77"/>
      <x:c r="G14" s="77"/>
      <x:c r="H14" s="77"/>
    </x:row>
    <x:row r="15">
      <x:c r="A15" s="72" t="str">
        <x:v>撤离燃料</x:v>
      </x:c>
      <x:c r="B15" s="72"/>
      <x:c r="C15" s="81" t="n">
        <x:f>'战备调用'!R106</x:f>
        <x:v>75000</x:v>
      </x:c>
      <x:c r="D15" s="72"/>
      <x:c r="E15" s="72"/>
      <x:c r="F15" s="72"/>
      <x:c r="G15" s="72"/>
      <x:c r="H15" s="72"/>
    </x:row>
    <x:row r="16">
      <x:c r="A16" s="72" t="str">
        <x:v>撤离人员工资</x:v>
      </x:c>
      <x:c r="B16" s="72"/>
      <x:c r="C16" s="81" t="n">
        <x:f>'战备调用'!S106</x:f>
        <x:v>68</x:v>
      </x:c>
      <x:c r="D16" s="72"/>
      <x:c r="E16" s="72"/>
      <x:c r="F16" s="72"/>
      <x:c r="G16" s="72"/>
      <x:c r="H16" s="72"/>
    </x:row>
    <x:row r="17">
      <x:c r="A17" s="72" t="str">
        <x:v>撤离维护折耗</x:v>
      </x:c>
      <x:c r="B17" s="72"/>
      <x:c r="C17" s="81" t="n">
        <x:f>'战备调用'!T106</x:f>
        <x:v>10000</x:v>
      </x:c>
      <x:c r="D17" s="72"/>
      <x:c r="E17" s="72"/>
      <x:c r="F17" s="72"/>
      <x:c r="G17" s="72"/>
      <x:c r="H17" s="72"/>
    </x:row>
    <x:row r="18" ht="48" customHeight="1">
      <x:c r="A18" s="72" t="str">
        <x:v>载具货运往返沿用P_VEHICLE的50000 MC保障标准；车辆本体及车载弹药不属于鹈鹕分摊，仍归申请者。此运输费已在载具调用平台项内，只分摊一次，不能再叠加第二笔运输费。</x:v>
      </x:c>
      <x:c r="B18" s="72"/>
      <x:c r="C18" s="72"/>
      <x:c r="D18" s="72"/>
      <x:c r="E18" s="72"/>
      <x:c r="F18" s="72"/>
      <x:c r="G18" s="72"/>
      <x:c r="H18" s="72"/>
    </x:row>
    <x:row r="19" ht="48" customHeight="1">
      <x:c r="A19" s="72" t="str">
        <x:v>人数改变时，实际账本须按费用事件当时人数记录。机炮按人数不变的区间分组，再累加人均份额；不拿最后人数重分过去的费用。此页是单个人数区间的计价演算。</x:v>
      </x:c>
      <x:c r="B19" s="72"/>
      <x:c r="C19" s="72"/>
      <x:c r="D19" s="72"/>
      <x:c r="E19" s="72"/>
      <x:c r="F19" s="72"/>
      <x:c r="G19" s="72"/>
      <x:c r="H19" s="72"/>
    </x:row>
    <x:row r="20" ht="48" customHeight="1">
      <x:c r="A20" s="72" t="str">
        <x:v>真实返舰/出航记一次基础费。同一架次重复呼叫、改派或盘旋不增加架次。只消耗炮弹而无新增架次时，只增加炮弹费，基础费保持0。</x:v>
      </x:c>
      <x:c r="B20" s="72"/>
      <x:c r="C20" s="72"/>
      <x:c r="D20" s="72"/>
      <x:c r="E20" s="72"/>
      <x:c r="F20" s="72"/>
      <x:c r="G20" s="72"/>
      <x:c r="H20" s="72"/>
    </x:row>
    <x:row r="21" ht="48" customHeight="1">
      <x:c r="A21" s="72" t="str">
        <x:v>每发150 MC为MOD机炮标准；没有把未公布口径写成确切30mm。每人基础值先定2000 MC，可改参数表。事件检测与自动人数快照尚未实现。</x:v>
      </x:c>
      <x:c r="B21" s="72"/>
      <x:c r="C21" s="72"/>
      <x:c r="D21" s="72"/>
      <x:c r="E21" s="72"/>
      <x:c r="F21" s="72"/>
      <x:c r="G21" s="72"/>
      <x:c r="H21" s="72"/>
    </x:row>
    <x:row r="22" ht="48" customHeight="1">
      <x:c r="A22" s="72" t="str">
        <x:v>校验示例：4人在队、1次撤离、0次货运、30发炮弹 → (85068 ÷ 4 + 2000) + (30 × 150 ÷ 4)。</x:v>
      </x:c>
      <x:c r="B22" s="72"/>
      <x:c r="C22" s="72"/>
      <x:c r="D22" s="72"/>
      <x:c r="E22" s="72"/>
      <x:c r="F22" s="72"/>
      <x:c r="G22" s="72"/>
      <x:c r="H22" s="72"/>
    </x:row>
    <x:row r="23">
      <x:c r="A23" s="72" t="str">
        <x:v>上述4人示例 · 人均（MC）</x:v>
      </x:c>
      <x:c r="B23" s="72"/>
      <x:c r="C23" s="72"/>
      <x:c r="D23" s="72"/>
      <x:c r="E23" s="72"/>
      <x:c r="F23" s="72"/>
      <x:c r="G23" s="72"/>
      <x:c r="H23" s="81" t="n">
        <x:f>ROUND('战备调用'!G106/4+'定价参数'!$D$130+30*'定价参数'!$D$129/4,2)</x:f>
        <x:v>24392</x:v>
      </x:c>
    </x:row>
    <x:row r="24">
      <x:c r="A24" s="72"/>
      <x:c r="B24" s="72"/>
      <x:c r="C24" s="72"/>
      <x:c r="D24" s="72"/>
      <x:c r="E24" s="72"/>
      <x:c r="F24" s="72"/>
      <x:c r="G24" s="72"/>
      <x:c r="H24" s="72"/>
    </x:row>
    <x:row r="25" ht="32" customHeight="1">
      <x:c r="A25" s="72" t="str">
        <x:v>https://helldivers.wiki.gg/wiki/Extraction_Shuttle | https://helldivers.wiki.gg/wiki/Pelican_Shuttle</x:v>
      </x:c>
      <x:c r="B25" s="72"/>
      <x:c r="C25" s="72"/>
      <x:c r="D25" s="72"/>
      <x:c r="E25" s="72"/>
      <x:c r="F25" s="72"/>
      <x:c r="G25" s="72"/>
      <x:c r="H25" s="72"/>
    </x:row>
    <x:row r="26">
      <x:c r="A26" s="72"/>
      <x:c r="B26" s="72"/>
      <x:c r="C26" s="72"/>
      <x:c r="D26" s="72"/>
      <x:c r="E26" s="72"/>
      <x:c r="F26" s="72"/>
      <x:c r="G26" s="72"/>
      <x:c r="H26" s="72"/>
    </x:row>
  </x:sheetData>
  <x:mergeCells>
    <x:mergeCell ref="A1:H2"/>
    <x:mergeCell ref="A3:H3"/>
    <x:mergeCell ref="D6:H6"/>
    <x:mergeCell ref="A12:G12"/>
    <x:mergeCell ref="A14:H14"/>
    <x:mergeCell ref="A18:H18"/>
    <x:mergeCell ref="A19:H19"/>
    <x:mergeCell ref="A20:H20"/>
    <x:mergeCell ref="A21:H21"/>
    <x:mergeCell ref="A22:H22"/>
    <x:mergeCell ref="A25:H25"/>
    <x:mergeCell ref="A23:G23"/>
  </x:mergeCells>
  <x:pageMargins left="0.7" right="0.7" top="0.75" bottom="0.75" header="0.3" footer="0.3"/>
</x:worksheet>
</file>